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SCIENCE\PhD\5. LittleLeo\Drag modelling\02_processed\"/>
    </mc:Choice>
  </mc:AlternateContent>
  <xr:revisionPtr revIDLastSave="0" documentId="13_ncr:1_{C1A9C5DF-6334-4176-9C76-5DDE3029CFFD}" xr6:coauthVersionLast="47" xr6:coauthVersionMax="47" xr10:uidLastSave="{00000000-0000-0000-0000-000000000000}"/>
  <bookViews>
    <workbookView xWindow="0" yWindow="0" windowWidth="11520" windowHeight="12504" firstSheet="3" activeTab="3" xr2:uid="{7BDD973C-2A60-495D-84BE-0754B33F2B79}"/>
  </bookViews>
  <sheets>
    <sheet name="Meta" sheetId="6" r:id="rId1"/>
    <sheet name="Simulations" sheetId="4" r:id="rId2"/>
    <sheet name="Mesh dependancy" sheetId="3" r:id="rId3"/>
    <sheet name="Sheet1" sheetId="5" r:id="rId4"/>
    <sheet name="Parameters" sheetId="2" r:id="rId5"/>
    <sheet name="Simulations_old" sheetId="1" r:id="rId6"/>
  </sheets>
  <definedNames>
    <definedName name="_xlnm._FilterDatabase" localSheetId="3" hidden="1">Sheet1!$A$1:$H$15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7" i="5"/>
  <c r="G2" i="5"/>
  <c r="R4" i="5"/>
  <c r="E2" i="5"/>
  <c r="D2" i="4"/>
  <c r="Z20" i="4"/>
  <c r="Z21" i="4"/>
  <c r="W2" i="4"/>
  <c r="X2" i="4"/>
  <c r="W4" i="4"/>
  <c r="X4" i="4" s="1"/>
  <c r="W6" i="4"/>
  <c r="X6" i="4"/>
  <c r="W7" i="4"/>
  <c r="X7" i="4"/>
  <c r="W8" i="4"/>
  <c r="X8" i="4"/>
  <c r="AD8" i="4" s="1"/>
  <c r="Y8" i="4"/>
  <c r="Z8" i="4"/>
  <c r="AA8" i="4" s="1"/>
  <c r="AB8" i="4" s="1"/>
  <c r="AE8" i="4"/>
  <c r="W9" i="4"/>
  <c r="X9" i="4"/>
  <c r="W10" i="4"/>
  <c r="X10" i="4"/>
  <c r="AD10" i="4" s="1"/>
  <c r="Y10" i="4"/>
  <c r="Z10" i="4" s="1"/>
  <c r="AA10" i="4" s="1"/>
  <c r="AB10" i="4" s="1"/>
  <c r="AE10" i="4"/>
  <c r="W11" i="4"/>
  <c r="X11" i="4"/>
  <c r="Y11" i="4"/>
  <c r="Z11" i="4" s="1"/>
  <c r="AA11" i="4" s="1"/>
  <c r="AB11" i="4" s="1"/>
  <c r="AD11" i="4"/>
  <c r="AE11" i="4"/>
  <c r="W12" i="4"/>
  <c r="X12" i="4"/>
  <c r="W13" i="4"/>
  <c r="X13" i="4" s="1"/>
  <c r="W14" i="4"/>
  <c r="X14" i="4"/>
  <c r="W15" i="4"/>
  <c r="Y15" i="4" s="1"/>
  <c r="Z15" i="4" s="1"/>
  <c r="AA15" i="4" s="1"/>
  <c r="AB15" i="4" s="1"/>
  <c r="X15" i="4"/>
  <c r="W16" i="4"/>
  <c r="X16" i="4"/>
  <c r="Y16" i="4"/>
  <c r="Z16" i="4" s="1"/>
  <c r="AA16" i="4" s="1"/>
  <c r="AB16" i="4" s="1"/>
  <c r="W17" i="4"/>
  <c r="Y17" i="4" s="1"/>
  <c r="Z17" i="4" s="1"/>
  <c r="AA17" i="4" s="1"/>
  <c r="AB17" i="4" s="1"/>
  <c r="X17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H6" i="5" l="1"/>
  <c r="G6" i="5"/>
  <c r="E6" i="5"/>
  <c r="F6" i="5"/>
  <c r="I7" i="5"/>
  <c r="J3" i="5"/>
  <c r="J4" i="5"/>
  <c r="E7" i="5"/>
  <c r="F7" i="5"/>
  <c r="I3" i="5"/>
  <c r="N6" i="5"/>
  <c r="U8" i="3" l="1"/>
  <c r="U9" i="3"/>
  <c r="U10" i="3"/>
  <c r="U11" i="3"/>
  <c r="U7" i="3"/>
  <c r="F2" i="5"/>
  <c r="I2" i="5"/>
  <c r="E8" i="5"/>
  <c r="F8" i="5"/>
  <c r="I4" i="5"/>
  <c r="H4" i="5"/>
  <c r="E12" i="5"/>
  <c r="F12" i="5"/>
  <c r="I5" i="5"/>
  <c r="J5" i="5"/>
  <c r="N5" i="5"/>
  <c r="E3" i="5"/>
  <c r="F3" i="5"/>
  <c r="I6" i="5"/>
  <c r="N7" i="5"/>
  <c r="E9" i="5"/>
  <c r="F9" i="5"/>
  <c r="G9" i="5"/>
  <c r="I8" i="5"/>
  <c r="N8" i="5"/>
  <c r="E13" i="5"/>
  <c r="F13" i="5"/>
  <c r="I9" i="5"/>
  <c r="E4" i="5"/>
  <c r="F4" i="5"/>
  <c r="I10" i="5"/>
  <c r="E10" i="5"/>
  <c r="F10" i="5"/>
  <c r="H10" i="5"/>
  <c r="I11" i="5"/>
  <c r="E14" i="5"/>
  <c r="F14" i="5"/>
  <c r="I12" i="5"/>
  <c r="E5" i="5"/>
  <c r="F5" i="5"/>
  <c r="G5" i="5"/>
  <c r="I13" i="5"/>
  <c r="E11" i="5"/>
  <c r="F11" i="5"/>
  <c r="I14" i="5"/>
  <c r="E15" i="5"/>
  <c r="F15" i="5"/>
  <c r="I15" i="5"/>
  <c r="S19" i="5"/>
  <c r="T19" i="5"/>
  <c r="J9" i="5" s="1"/>
  <c r="G8" i="5" l="1"/>
  <c r="H11" i="5"/>
  <c r="H13" i="5"/>
  <c r="H8" i="5"/>
  <c r="H7" i="5"/>
  <c r="G10" i="5"/>
  <c r="H14" i="5"/>
  <c r="G12" i="5"/>
  <c r="G4" i="5"/>
  <c r="G11" i="5"/>
  <c r="H12" i="5"/>
  <c r="H15" i="5"/>
  <c r="H3" i="5"/>
  <c r="G15" i="5"/>
  <c r="H5" i="5"/>
  <c r="H9" i="5"/>
  <c r="H2" i="5"/>
  <c r="G14" i="5"/>
  <c r="G13" i="5"/>
  <c r="F10" i="1"/>
  <c r="F9" i="1"/>
  <c r="F8" i="1"/>
  <c r="F3" i="1"/>
  <c r="G3" i="1"/>
</calcChain>
</file>

<file path=xl/sharedStrings.xml><?xml version="1.0" encoding="utf-8"?>
<sst xmlns="http://schemas.openxmlformats.org/spreadsheetml/2006/main" count="240" uniqueCount="94">
  <si>
    <t>Run</t>
  </si>
  <si>
    <t>Shark size</t>
  </si>
  <si>
    <t>Tag</t>
  </si>
  <si>
    <t>Velocity(m/s)</t>
  </si>
  <si>
    <t>NO</t>
  </si>
  <si>
    <t>YES</t>
  </si>
  <si>
    <t>FORCE_COEFFICIENT_CD</t>
  </si>
  <si>
    <t>FORCE_COEFFICIENT_CL</t>
  </si>
  <si>
    <t>FORCE_COEFFICIENT_CLF</t>
  </si>
  <si>
    <t>FORCE_COEFFICIENT_CLR</t>
  </si>
  <si>
    <t>FORCE_COEFFICIENT_CM</t>
  </si>
  <si>
    <t>PRESSURE_FORCE_X</t>
  </si>
  <si>
    <t>PRESSURE_FORCE_Y</t>
  </si>
  <si>
    <t>PRESSURE_FORCE_Z</t>
  </si>
  <si>
    <t>TOTAL_FORCE_X</t>
  </si>
  <si>
    <t>TOTAL_FORCE_Y</t>
  </si>
  <si>
    <t>TOTAL_FORCE_Z</t>
  </si>
  <si>
    <t>VISCOUS_FORCE_X</t>
  </si>
  <si>
    <t>VISCOUS_FORCE_Y</t>
  </si>
  <si>
    <t>VISCOUS_FORCE_Z</t>
  </si>
  <si>
    <t>Parameter</t>
  </si>
  <si>
    <t>Value</t>
  </si>
  <si>
    <t>Fluid density</t>
  </si>
  <si>
    <t>Reference area</t>
  </si>
  <si>
    <t>Algorithm</t>
  </si>
  <si>
    <t>Fineness</t>
  </si>
  <si>
    <t>Standard</t>
  </si>
  <si>
    <t>Max NonO</t>
  </si>
  <si>
    <t>Nodes</t>
  </si>
  <si>
    <t>Hex</t>
  </si>
  <si>
    <t>Fine</t>
  </si>
  <si>
    <t>Quality score</t>
  </si>
  <si>
    <t>Input mesh</t>
  </si>
  <si>
    <t>Remodelled241030_reduced50</t>
  </si>
  <si>
    <t>Remodelled251023_remeshed_reducedIII</t>
  </si>
  <si>
    <t>Moderate</t>
  </si>
  <si>
    <t>Volumes</t>
  </si>
  <si>
    <t>Manual (0.5)</t>
  </si>
  <si>
    <t>Manual (0.65)</t>
  </si>
  <si>
    <t>Manual (0.725)</t>
  </si>
  <si>
    <t>Manual (5)</t>
  </si>
  <si>
    <t>Cells</t>
  </si>
  <si>
    <t>Quality</t>
  </si>
  <si>
    <t>Iteration</t>
  </si>
  <si>
    <t>Scaling 160</t>
  </si>
  <si>
    <t>Scaling 120</t>
  </si>
  <si>
    <t>Scaling original to  800</t>
  </si>
  <si>
    <t>Ratio</t>
  </si>
  <si>
    <t>Cephalofoil</t>
  </si>
  <si>
    <t>TL</t>
  </si>
  <si>
    <t>Scaling</t>
  </si>
  <si>
    <t>Reference length</t>
  </si>
  <si>
    <t>Vol_Z</t>
  </si>
  <si>
    <t>Vol_Y</t>
  </si>
  <si>
    <t>Vol_Xback</t>
  </si>
  <si>
    <t>Vol_Xfront</t>
  </si>
  <si>
    <t>Delta_Total_X</t>
  </si>
  <si>
    <t>Delta_power</t>
  </si>
  <si>
    <t>Metabolic_energy_W</t>
  </si>
  <si>
    <t>Metabolic_energy_J</t>
  </si>
  <si>
    <t>Daily_energy_penalty</t>
  </si>
  <si>
    <t>Manual (12)</t>
  </si>
  <si>
    <t>Manual (15)</t>
  </si>
  <si>
    <t>Column1</t>
  </si>
  <si>
    <t>Weight</t>
  </si>
  <si>
    <t>Tag weight</t>
  </si>
  <si>
    <t>Tag frontal area</t>
  </si>
  <si>
    <t>Tag/Shark weight</t>
  </si>
  <si>
    <t>Tag/shark area</t>
  </si>
  <si>
    <t>120_0.5_NA</t>
  </si>
  <si>
    <t>80_1_NA</t>
  </si>
  <si>
    <t>100_1_NA</t>
  </si>
  <si>
    <t>120_1_NA</t>
  </si>
  <si>
    <t>160_1_NA</t>
  </si>
  <si>
    <t>80_2.5_NA</t>
  </si>
  <si>
    <t>120_2.5_NA</t>
  </si>
  <si>
    <t>160_2.5_NA</t>
  </si>
  <si>
    <t>120_0.5_T</t>
  </si>
  <si>
    <t>80_1_T</t>
  </si>
  <si>
    <t>100_1_T</t>
  </si>
  <si>
    <t>120_1_T</t>
  </si>
  <si>
    <t>160_1_T</t>
  </si>
  <si>
    <t>80_2.5_T</t>
  </si>
  <si>
    <t>120_2.5_T</t>
  </si>
  <si>
    <t>160_2.5_T</t>
  </si>
  <si>
    <t>Tag_frontal_area</t>
  </si>
  <si>
    <t>Tag_weight</t>
  </si>
  <si>
    <t>Tag/shark_area</t>
  </si>
  <si>
    <t>Tag/Shark_weight</t>
  </si>
  <si>
    <t>Shark_size</t>
  </si>
  <si>
    <t>Velocity</t>
  </si>
  <si>
    <t>Ref_area</t>
  </si>
  <si>
    <t>Manual</t>
  </si>
  <si>
    <t>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</si>
</sst>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0"/>
    <numFmt numFmtId="165" formatCode="0.0000"/>
    <numFmt numFmtId="166" formatCode="0.000"/>
    <numFmt numFmtId="167" formatCode="0.0"/>
    <numFmt numFmtId="168" formatCode="0.00000000000000%"/>
    <numFmt numFmtId="169" formatCode="0.0%"/>
    <numFmt numFmtId="170" formatCode="#,##0.00000000"/>
  </numFmts>
  <fonts count="6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0">
    <xf numFmtId="0" fontId="0" fillId="0" borderId="0" xfId="0"/>
    <xf numFmtId="11" fontId="0" fillId="0" borderId="0" xfId="0" applyNumberFormat="1"/>
    <xf numFmtId="164" fontId="0" fillId="0" borderId="0" xfId="0" applyNumberFormat="1"/>
    <xf numFmtId="9" fontId="0" fillId="0" borderId="0" xfId="1" applyFont="1"/>
    <xf numFmtId="0" fontId="3" fillId="0" borderId="1" xfId="0" applyFont="1" applyBorder="1"/>
    <xf numFmtId="0" fontId="3" fillId="0" borderId="0" xfId="0" applyFont="1"/>
    <xf numFmtId="0" fontId="4" fillId="0" borderId="0" xfId="0" applyFont="1" applyAlignment="1">
      <alignment vertical="center"/>
    </xf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" fontId="0" fillId="0" borderId="0" xfId="0" applyNumberFormat="1"/>
    <xf numFmtId="167" fontId="0" fillId="0" borderId="0" xfId="0" applyNumberFormat="1"/>
    <xf numFmtId="10" fontId="0" fillId="0" borderId="0" xfId="1" applyNumberFormat="1" applyFont="1"/>
    <xf numFmtId="2" fontId="4" fillId="0" borderId="0" xfId="0" applyNumberFormat="1" applyFont="1" applyAlignment="1">
      <alignment vertical="center"/>
    </xf>
    <xf numFmtId="166" fontId="4" fillId="0" borderId="0" xfId="0" applyNumberFormat="1" applyFont="1" applyAlignment="1">
      <alignment vertical="center"/>
    </xf>
    <xf numFmtId="164" fontId="5" fillId="0" borderId="0" xfId="0" applyNumberFormat="1" applyFont="1"/>
    <xf numFmtId="10" fontId="0" fillId="0" borderId="0" xfId="0" applyNumberFormat="1"/>
    <xf numFmtId="168" fontId="0" fillId="0" borderId="0" xfId="0" applyNumberFormat="1"/>
    <xf numFmtId="169" fontId="0" fillId="0" borderId="0" xfId="1" applyNumberFormat="1" applyFont="1"/>
    <xf numFmtId="170" fontId="0" fillId="0" borderId="0" xfId="0" applyNumberFormat="1"/>
  </cellXfs>
  <cellStyles count="2">
    <cellStyle name="Normal" xfId="0" builtinId="0"/>
    <cellStyle name="Percent" xfId="1" builtinId="5"/>
  </cellStyles>
  <dxfs count="13">
    <dxf>
      <numFmt numFmtId="165" formatCode="0.0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Shark only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Simulations!$B$4:$B$7</c:f>
              <c:numCache>
                <c:formatCode>General</c:formatCode>
                <c:ptCount val="4"/>
                <c:pt idx="0">
                  <c:v>0.8</c:v>
                </c:pt>
                <c:pt idx="1">
                  <c:v>1</c:v>
                </c:pt>
                <c:pt idx="2">
                  <c:v>1.2</c:v>
                </c:pt>
                <c:pt idx="3">
                  <c:v>1.6</c:v>
                </c:pt>
              </c:numCache>
            </c:numRef>
          </c:xVal>
          <c:yVal>
            <c:numRef>
              <c:f>Simulations!$Q$4:$Q$7</c:f>
              <c:numCache>
                <c:formatCode>0.00</c:formatCode>
                <c:ptCount val="4"/>
                <c:pt idx="0">
                  <c:v>1.2232436901979999</c:v>
                </c:pt>
                <c:pt idx="1">
                  <c:v>1.826860189494</c:v>
                </c:pt>
                <c:pt idx="2">
                  <c:v>2.6668485782240001</c:v>
                </c:pt>
                <c:pt idx="3">
                  <c:v>4.5328686951149999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4B-4FB4-948A-03DA7E0F7B11}"/>
            </c:ext>
          </c:extLst>
        </c:ser>
        <c:ser>
          <c:idx val="1"/>
          <c:order val="1"/>
          <c:tx>
            <c:v>Shark with tag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wer"/>
            <c:dispRSqr val="0"/>
            <c:dispEq val="0"/>
          </c:trendline>
          <c:xVal>
            <c:numRef>
              <c:f>Simulations!$B$8:$B$11</c:f>
              <c:numCache>
                <c:formatCode>General</c:formatCode>
                <c:ptCount val="4"/>
                <c:pt idx="0">
                  <c:v>0.8</c:v>
                </c:pt>
                <c:pt idx="1">
                  <c:v>1</c:v>
                </c:pt>
                <c:pt idx="2">
                  <c:v>1.2</c:v>
                </c:pt>
                <c:pt idx="3">
                  <c:v>1.6</c:v>
                </c:pt>
              </c:numCache>
            </c:numRef>
          </c:xVal>
          <c:yVal>
            <c:numRef>
              <c:f>Simulations!$Q$8:$Q$11</c:f>
              <c:numCache>
                <c:formatCode>0.00</c:formatCode>
                <c:ptCount val="4"/>
                <c:pt idx="0">
                  <c:v>1.5555079868990001</c:v>
                </c:pt>
                <c:pt idx="1">
                  <c:v>2.208170386346</c:v>
                </c:pt>
                <c:pt idx="2">
                  <c:v>2.8232819248780001</c:v>
                </c:pt>
                <c:pt idx="3">
                  <c:v>4.7349878628589996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64B-4FB4-948A-03DA7E0F7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5958704"/>
        <c:axId val="1725962064"/>
      </c:scatterChart>
      <c:valAx>
        <c:axId val="1725958704"/>
        <c:scaling>
          <c:orientation val="minMax"/>
          <c:min val="0.60000000000000009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 algn="ctr" rtl="0"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Shark total length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algn="ctr" rtl="0">
                <a:defRPr lang="en-US"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62064"/>
        <c:crosses val="autoZero"/>
        <c:crossBetween val="midCat"/>
      </c:valAx>
      <c:valAx>
        <c:axId val="1725962064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algn="ctr" rtl="0">
                  <a:defRPr lang="en-US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rPr>
                  <a:t>Total force x axis (N)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algn="ctr" rtl="0">
                <a:defRPr lang="en-US"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5958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Simulations!$Q$1</c:f>
              <c:strCache>
                <c:ptCount val="1"/>
                <c:pt idx="0">
                  <c:v>TOTAL_FORCE_X</c:v>
                </c:pt>
              </c:strCache>
            </c:strRef>
          </c:tx>
          <c:spPr>
            <a:ln w="19050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Simulations!$B$8:$B$11</c:f>
              <c:numCache>
                <c:formatCode>General</c:formatCode>
                <c:ptCount val="4"/>
                <c:pt idx="0">
                  <c:v>0.8</c:v>
                </c:pt>
                <c:pt idx="1">
                  <c:v>1</c:v>
                </c:pt>
                <c:pt idx="2">
                  <c:v>1.2</c:v>
                </c:pt>
                <c:pt idx="3">
                  <c:v>1.6</c:v>
                </c:pt>
              </c:numCache>
            </c:numRef>
          </c:xVal>
          <c:yVal>
            <c:numRef>
              <c:f>Simulations!$X$8:$X$11</c:f>
              <c:numCache>
                <c:formatCode>0.00%</c:formatCode>
                <c:ptCount val="4"/>
                <c:pt idx="0">
                  <c:v>0.27162559624339305</c:v>
                </c:pt>
                <c:pt idx="1">
                  <c:v>0.20872434521528141</c:v>
                </c:pt>
                <c:pt idx="2">
                  <c:v>5.8658503497854196E-2</c:v>
                </c:pt>
                <c:pt idx="3">
                  <c:v>4.4589680694219168E-2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C0-4379-AB52-C1FEEF8B2D2B}"/>
            </c:ext>
          </c:extLst>
        </c:ser>
        <c:ser>
          <c:idx val="1"/>
          <c:order val="1"/>
          <c:tx>
            <c:strRef>
              <c:f>Simulations!$B$15:$B$17</c:f>
              <c:strCache>
                <c:ptCount val="3"/>
                <c:pt idx="0">
                  <c:v>0.8</c:v>
                </c:pt>
                <c:pt idx="1">
                  <c:v>1.2</c:v>
                </c:pt>
                <c:pt idx="2">
                  <c:v>1.6</c:v>
                </c:pt>
              </c:strCache>
            </c:strRef>
          </c:tx>
          <c:spPr>
            <a:ln w="19050" cap="rnd">
              <a:solidFill>
                <a:schemeClr val="dk1">
                  <a:tint val="5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55000"/>
                </a:schemeClr>
              </a:solidFill>
              <a:ln w="9525">
                <a:solidFill>
                  <a:schemeClr val="dk1">
                    <a:tint val="55000"/>
                  </a:schemeClr>
                </a:solidFill>
              </a:ln>
              <a:effectLst/>
            </c:spPr>
          </c:marker>
          <c:xVal>
            <c:numRef>
              <c:f>Simulations!$B$15:$B$17</c:f>
              <c:numCache>
                <c:formatCode>General</c:formatCode>
                <c:ptCount val="3"/>
                <c:pt idx="0">
                  <c:v>0.8</c:v>
                </c:pt>
                <c:pt idx="1">
                  <c:v>1.2</c:v>
                </c:pt>
                <c:pt idx="2">
                  <c:v>1.6</c:v>
                </c:pt>
              </c:numCache>
            </c:numRef>
          </c:xVal>
          <c:yVal>
            <c:numRef>
              <c:f>Simulations!$X$15:$X$17</c:f>
              <c:numCache>
                <c:formatCode>0.00%</c:formatCode>
                <c:ptCount val="3"/>
                <c:pt idx="0">
                  <c:v>0.30338836584175566</c:v>
                </c:pt>
                <c:pt idx="1">
                  <c:v>6.1248746478683058E-2</c:v>
                </c:pt>
                <c:pt idx="2">
                  <c:v>4.6268238548427876E-2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C0-4379-AB52-C1FEEF8B2D2B}"/>
            </c:ext>
          </c:extLst>
        </c:ser>
        <c:ser>
          <c:idx val="2"/>
          <c:order val="2"/>
          <c:tx>
            <c:v>Weight</c:v>
          </c:tx>
          <c:spPr>
            <a:ln w="19050" cap="rnd">
              <a:solidFill>
                <a:schemeClr val="dk1">
                  <a:tint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75000"/>
                </a:schemeClr>
              </a:solidFill>
              <a:ln w="9525">
                <a:solidFill>
                  <a:schemeClr val="dk1">
                    <a:tint val="75000"/>
                  </a:schemeClr>
                </a:solidFill>
              </a:ln>
              <a:effectLst/>
            </c:spPr>
          </c:marker>
          <c:xVal>
            <c:numRef>
              <c:f>Simulations!$B$8:$B$11</c:f>
              <c:numCache>
                <c:formatCode>General</c:formatCode>
                <c:ptCount val="4"/>
                <c:pt idx="0">
                  <c:v>0.8</c:v>
                </c:pt>
                <c:pt idx="1">
                  <c:v>1</c:v>
                </c:pt>
                <c:pt idx="2">
                  <c:v>1.2</c:v>
                </c:pt>
                <c:pt idx="3">
                  <c:v>1.6</c:v>
                </c:pt>
              </c:numCache>
            </c:numRef>
          </c:xVal>
          <c:yVal>
            <c:numRef>
              <c:f>Simulations!$D$8:$D$11</c:f>
              <c:numCache>
                <c:formatCode>0.0%</c:formatCode>
                <c:ptCount val="4"/>
                <c:pt idx="0">
                  <c:v>4.0011126903862791E-2</c:v>
                </c:pt>
                <c:pt idx="1">
                  <c:v>2.0994793291263768E-2</c:v>
                </c:pt>
                <c:pt idx="2">
                  <c:v>1.2395874652915511E-2</c:v>
                </c:pt>
                <c:pt idx="3">
                  <c:v>5.3976472426761641E-3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017-493B-BB4F-F05DBB054E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0075792"/>
        <c:axId val="1590077232"/>
      </c:scatterChart>
      <c:valAx>
        <c:axId val="1590075792"/>
        <c:scaling>
          <c:orientation val="minMax"/>
          <c:min val="0.60000000000000009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0" i="0" u="none" strike="noStrike" kern="1200" baseline="0">
                    <a:solidFill>
                      <a:sysClr val="windowText" lastClr="000000"/>
                    </a:solidFill>
                  </a:rPr>
                  <a:t>Shark total length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77232"/>
        <c:crosses val="autoZero"/>
        <c:crossBetween val="midCat"/>
        <c:majorUnit val="0.2"/>
      </c:valAx>
      <c:valAx>
        <c:axId val="159007723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Drag</a:t>
                </a:r>
                <a:r>
                  <a:rPr lang="en-US" sz="1400" baseline="0">
                    <a:solidFill>
                      <a:sysClr val="windowText" lastClr="000000"/>
                    </a:solidFill>
                  </a:rPr>
                  <a:t> increase with tag</a:t>
                </a:r>
                <a:endParaRPr lang="en-US" sz="14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075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 increase shark only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Simulations!$Q$1</c:f>
              <c:strCache>
                <c:ptCount val="1"/>
                <c:pt idx="0">
                  <c:v>TOTAL_FORCE_X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layout>
                <c:manualLayout>
                  <c:x val="7.8177602799650039E-2"/>
                  <c:y val="-6.55844508270213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Simulations!$B$4:$B$7</c:f>
              <c:numCache>
                <c:formatCode>General</c:formatCode>
                <c:ptCount val="4"/>
                <c:pt idx="0">
                  <c:v>0.8</c:v>
                </c:pt>
                <c:pt idx="1">
                  <c:v>1</c:v>
                </c:pt>
                <c:pt idx="2">
                  <c:v>1.2</c:v>
                </c:pt>
                <c:pt idx="3">
                  <c:v>1.6</c:v>
                </c:pt>
              </c:numCache>
            </c:numRef>
          </c:xVal>
          <c:yVal>
            <c:numRef>
              <c:f>Simulations!$Q$4:$Q$7</c:f>
              <c:numCache>
                <c:formatCode>0.00</c:formatCode>
                <c:ptCount val="4"/>
                <c:pt idx="0">
                  <c:v>1.2232436901979999</c:v>
                </c:pt>
                <c:pt idx="1">
                  <c:v>1.826860189494</c:v>
                </c:pt>
                <c:pt idx="2">
                  <c:v>2.6668485782240001</c:v>
                </c:pt>
                <c:pt idx="3">
                  <c:v>4.5328686951149999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2A-48F3-BEE1-ACC422B65915}"/>
            </c:ext>
          </c:extLst>
        </c:ser>
        <c:ser>
          <c:idx val="2"/>
          <c:order val="1"/>
          <c:tx>
            <c:strRef>
              <c:f>Simulations!$S$1</c:f>
              <c:strCache>
                <c:ptCount val="1"/>
                <c:pt idx="0">
                  <c:v>TOTAL_FORCE_Z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powe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Simulations!$B$4:$B$7</c:f>
              <c:numCache>
                <c:formatCode>General</c:formatCode>
                <c:ptCount val="4"/>
                <c:pt idx="0">
                  <c:v>0.8</c:v>
                </c:pt>
                <c:pt idx="1">
                  <c:v>1</c:v>
                </c:pt>
                <c:pt idx="2">
                  <c:v>1.2</c:v>
                </c:pt>
                <c:pt idx="3">
                  <c:v>1.6</c:v>
                </c:pt>
              </c:numCache>
            </c:numRef>
          </c:xVal>
          <c:yVal>
            <c:numRef>
              <c:f>Simulations!$S$4:$S$7</c:f>
              <c:numCache>
                <c:formatCode>0.00</c:formatCode>
                <c:ptCount val="4"/>
                <c:pt idx="0">
                  <c:v>3.3839332915089999</c:v>
                </c:pt>
                <c:pt idx="1">
                  <c:v>5.4689829926859996</c:v>
                </c:pt>
                <c:pt idx="2">
                  <c:v>7.784483765519</c:v>
                </c:pt>
                <c:pt idx="3">
                  <c:v>14.008553332669999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C2A-48F3-BEE1-ACC422B659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66016207"/>
        <c:axId val="1666027727"/>
      </c:scatterChart>
      <c:valAx>
        <c:axId val="1666016207"/>
        <c:scaling>
          <c:orientation val="minMax"/>
          <c:min val="0.6000000000000000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27727"/>
        <c:crosses val="autoZero"/>
        <c:crossBetween val="midCat"/>
      </c:valAx>
      <c:valAx>
        <c:axId val="166602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0162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600075</xdr:colOff>
      <xdr:row>27</xdr:row>
      <xdr:rowOff>104776</xdr:rowOff>
    </xdr:from>
    <xdr:to>
      <xdr:col>20</xdr:col>
      <xdr:colOff>15240</xdr:colOff>
      <xdr:row>44</xdr:row>
      <xdr:rowOff>134303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AD9D1D-8BF9-8727-B832-430F8094B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17145</xdr:colOff>
      <xdr:row>27</xdr:row>
      <xdr:rowOff>102870</xdr:rowOff>
    </xdr:from>
    <xdr:to>
      <xdr:col>25</xdr:col>
      <xdr:colOff>962026</xdr:colOff>
      <xdr:row>44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49B8E1-D84C-8170-344D-25665A073D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38100</xdr:colOff>
      <xdr:row>28</xdr:row>
      <xdr:rowOff>137160</xdr:rowOff>
    </xdr:from>
    <xdr:to>
      <xdr:col>11</xdr:col>
      <xdr:colOff>22860</xdr:colOff>
      <xdr:row>53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FDC5CD9-E39C-7958-7D5D-F26B9EE905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7BC38-4426-4D95-AC62-4B05EFCE928E}" name="Table2" displayName="Table2" ref="A1:U11" totalsRowShown="0">
  <autoFilter ref="A1:U11" xr:uid="{9B97BC38-4426-4D95-AC62-4B05EFCE928E}"/>
  <sortState xmlns:xlrd2="http://schemas.microsoft.com/office/spreadsheetml/2017/richdata2" ref="A2:T6">
    <sortCondition ref="H1:H6"/>
  </sortState>
  <tableColumns count="21">
    <tableColumn id="1" xr3:uid="{27EB0DB8-41F8-4A90-9DCD-92C2FDA92617}" name="Run"/>
    <tableColumn id="2" xr3:uid="{3908BA88-F86A-4472-8940-88C773509CD7}" name="Input mesh"/>
    <tableColumn id="3" xr3:uid="{74548128-5325-4D81-88EA-A314E2943FE9}" name="Shark size"/>
    <tableColumn id="4" xr3:uid="{772B14CC-ECCC-4B64-AB0D-2B2FD0A44A00}" name="Tag"/>
    <tableColumn id="5" xr3:uid="{50975604-30A5-4F25-BAD8-69687858632C}" name="Velocity(m/s)"/>
    <tableColumn id="6" xr3:uid="{D6B65EC6-C1C3-426A-A4E4-7FC6F8DF262C}" name="Algorithm"/>
    <tableColumn id="7" xr3:uid="{55D6E6F3-B89F-4B3E-A3DD-6E0767E42BC1}" name="Fineness"/>
    <tableColumn id="8" xr3:uid="{ECC291BE-D7DB-4865-990D-F345CCB3A7A8}" name="Volumes"/>
    <tableColumn id="9" xr3:uid="{5371FF02-CF7A-46D8-8E44-97CA2E507BCB}" name="Nodes"/>
    <tableColumn id="10" xr3:uid="{8CA3258B-A39D-4C56-8962-FC977AFAEFC3}" name="Max NonO" dataDxfId="12"/>
    <tableColumn id="11" xr3:uid="{B9B28F2F-0D78-453D-843E-2B74557E76BC}" name="Quality score" dataDxfId="11"/>
    <tableColumn id="12" xr3:uid="{9DB1F37B-89C1-430C-A8EE-DB59F3CD248E}" name="PRESSURE_FORCE_X" dataDxfId="10"/>
    <tableColumn id="13" xr3:uid="{C11CFBA6-82C0-4928-B987-B01D889005F3}" name="PRESSURE_FORCE_Y" dataDxfId="9"/>
    <tableColumn id="14" xr3:uid="{94C5657B-E5A9-4952-B467-91490C4D8A28}" name="PRESSURE_FORCE_Z" dataDxfId="8"/>
    <tableColumn id="15" xr3:uid="{7F98B64E-1AD3-4BC3-91CF-99568A4D2037}" name="TOTAL_FORCE_X" dataDxfId="7"/>
    <tableColumn id="16" xr3:uid="{6BF6A599-3B38-455C-8045-8B58ED58A763}" name="TOTAL_FORCE_Y" dataDxfId="6"/>
    <tableColumn id="17" xr3:uid="{5C017D61-74CC-4B12-B71F-CA911DA00C3F}" name="TOTAL_FORCE_Z" dataDxfId="5"/>
    <tableColumn id="18" xr3:uid="{FB884ACA-E381-4CD2-A624-FE2A9DE7A5D7}" name="VISCOUS_FORCE_X" dataDxfId="4"/>
    <tableColumn id="19" xr3:uid="{C8541875-9CB5-4FFB-9EA9-270646182863}" name="VISCOUS_FORCE_Y" dataDxfId="3"/>
    <tableColumn id="20" xr3:uid="{0A49B1C9-A49E-403D-832C-212CFB6201F8}" name="VISCOUS_FORCE_Z" dataDxfId="2"/>
    <tableColumn id="21" xr3:uid="{D8D518D4-A596-49E7-AA82-AE3FC10CF386}" name="Column1" dataDxfId="1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2F273D-3C9F-4EFA-9CA6-245D456F9FE0}" name="Table1" displayName="Table1" ref="A1:S13" totalsRowShown="0">
  <autoFilter ref="A1:S13" xr:uid="{FB2F273D-3C9F-4EFA-9CA6-245D456F9FE0}"/>
  <sortState xmlns:xlrd2="http://schemas.microsoft.com/office/spreadsheetml/2017/richdata2" ref="A2:J13">
    <sortCondition ref="D1:D13"/>
  </sortState>
  <tableColumns count="19">
    <tableColumn id="1" xr3:uid="{D5CFE9CA-D93F-4D26-BCC7-923A9279EF2C}" name="Run"/>
    <tableColumn id="2" xr3:uid="{13A92187-B230-43E4-96C9-B50F6CC76F94}" name="Shark size"/>
    <tableColumn id="3" xr3:uid="{BD4B4BC0-7EBD-4D2B-81A1-A4BDD63D62C0}" name="Tag"/>
    <tableColumn id="4" xr3:uid="{68591C5D-4A28-43F1-B238-7A83C8DBE47B}" name="Velocity(m/s)"/>
    <tableColumn id="19" xr3:uid="{3C1D2C12-485F-4E94-9074-B0638CD65C5F}" name="Reference area"/>
    <tableColumn id="5" xr3:uid="{D74610AE-11D7-412F-9A30-4A020022A5ED}" name="FORCE_COEFFICIENT_CD" dataDxfId="0"/>
    <tableColumn id="6" xr3:uid="{78720BFF-6FBF-44EC-A6D8-10658B18B665}" name="FORCE_COEFFICIENT_CL"/>
    <tableColumn id="7" xr3:uid="{0BCB28BC-A8F3-4347-8EC0-DFC369041DC4}" name="FORCE_COEFFICIENT_CLF"/>
    <tableColumn id="8" xr3:uid="{053F253A-E76F-4FA0-9B0E-8C0F4078B3D7}" name="FORCE_COEFFICIENT_CLR"/>
    <tableColumn id="9" xr3:uid="{E5740D9A-2AB8-45D3-9862-B3709CA026A1}" name="FORCE_COEFFICIENT_CM"/>
    <tableColumn id="10" xr3:uid="{257DB2C3-6F09-4313-8D55-F469C2C52667}" name="PRESSURE_FORCE_X"/>
    <tableColumn id="11" xr3:uid="{92D4801E-FCE9-409A-8B2C-3211C3EFFEC2}" name="PRESSURE_FORCE_Y"/>
    <tableColumn id="12" xr3:uid="{657EFDDC-683D-4147-9252-6B76B83AC56E}" name="PRESSURE_FORCE_Z"/>
    <tableColumn id="13" xr3:uid="{2AA5B08C-A8EF-4A7A-90E0-3B9D1255387C}" name="TOTAL_FORCE_X"/>
    <tableColumn id="14" xr3:uid="{46C8C2B0-BA52-4707-A9FA-1A4B382B77EF}" name="TOTAL_FORCE_Y"/>
    <tableColumn id="15" xr3:uid="{F19002BF-A784-4062-BA20-A9F0F3D3681C}" name="TOTAL_FORCE_Z"/>
    <tableColumn id="16" xr3:uid="{BCDFBEF4-466F-4A6D-921E-3C6BCDD70512}" name="VISCOUS_FORCE_X"/>
    <tableColumn id="17" xr3:uid="{93C504DE-27E1-4569-8793-C4F29098FABD}" name="VISCOUS_FORCE_Y"/>
    <tableColumn id="18" xr3:uid="{3C1A09B8-FB7C-48A2-80AC-2438D673F260}" name="VISCOUS_FORCE_Z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E3A2-A974-4839-AFA4-94897610B9F3}">
  <dimension ref="A1:M17"/>
  <sheetViews>
    <sheetView workbookViewId="0">
      <selection activeCell="J1" sqref="J1"/>
    </sheetView>
  </sheetViews>
  <sheetFormatPr defaultRowHeight="14.4"/>
  <cols>
    <col min="1" max="1" width="10.77734375" bestFit="1" customWidth="1"/>
    <col min="2" max="5" width="11.5546875" customWidth="1"/>
    <col min="8" max="8" width="13.6640625" bestFit="1" customWidth="1"/>
    <col min="9" max="10" width="14.33203125" customWidth="1"/>
    <col min="13" max="13" width="10.5546875" bestFit="1" customWidth="1"/>
  </cols>
  <sheetData>
    <row r="1" spans="1:13">
      <c r="A1" s="4" t="s">
        <v>0</v>
      </c>
      <c r="B1" s="4" t="s">
        <v>89</v>
      </c>
      <c r="C1" s="4" t="s">
        <v>64</v>
      </c>
      <c r="D1" s="4" t="s">
        <v>88</v>
      </c>
      <c r="E1" s="4" t="s">
        <v>87</v>
      </c>
      <c r="F1" s="4" t="s">
        <v>2</v>
      </c>
      <c r="G1" s="4" t="s">
        <v>86</v>
      </c>
      <c r="H1" s="4" t="s">
        <v>85</v>
      </c>
      <c r="I1" s="4" t="s">
        <v>90</v>
      </c>
      <c r="J1" s="4" t="s">
        <v>91</v>
      </c>
      <c r="K1" s="4" t="s">
        <v>41</v>
      </c>
      <c r="L1" s="4" t="s">
        <v>42</v>
      </c>
      <c r="M1" s="4" t="s">
        <v>43</v>
      </c>
    </row>
    <row r="2" spans="1:13">
      <c r="A2" t="s">
        <v>69</v>
      </c>
      <c r="B2">
        <v>1.2</v>
      </c>
      <c r="C2">
        <v>8470.56</v>
      </c>
      <c r="D2" s="18">
        <v>1.1805594907538582E-2</v>
      </c>
      <c r="E2" s="18">
        <v>0.10866728926706098</v>
      </c>
      <c r="F2" t="s">
        <v>4</v>
      </c>
      <c r="G2">
        <v>100</v>
      </c>
      <c r="H2" s="19">
        <v>1.57084E-3</v>
      </c>
      <c r="I2">
        <v>0.5</v>
      </c>
      <c r="J2" s="2">
        <v>1.44555E-2</v>
      </c>
      <c r="K2">
        <v>6110226</v>
      </c>
      <c r="L2" s="14">
        <v>0.57569999999999999</v>
      </c>
      <c r="M2">
        <v>2000</v>
      </c>
    </row>
    <row r="3" spans="1:13">
      <c r="A3" t="s">
        <v>77</v>
      </c>
      <c r="B3">
        <v>1.2</v>
      </c>
      <c r="C3">
        <v>8470.56</v>
      </c>
      <c r="D3" s="18">
        <v>1.1805594907538582E-2</v>
      </c>
      <c r="E3" s="18">
        <v>0.10866728926706098</v>
      </c>
      <c r="F3" t="s">
        <v>5</v>
      </c>
      <c r="G3">
        <v>100</v>
      </c>
      <c r="H3" s="19">
        <v>1.57084E-3</v>
      </c>
      <c r="I3">
        <v>0.5</v>
      </c>
      <c r="J3" s="2">
        <v>1.44555E-2</v>
      </c>
      <c r="K3">
        <v>3933008</v>
      </c>
      <c r="L3" s="14">
        <v>0.38350000000000001</v>
      </c>
      <c r="M3">
        <v>2000</v>
      </c>
    </row>
    <row r="4" spans="1:13">
      <c r="A4" t="s">
        <v>70</v>
      </c>
      <c r="B4">
        <v>0.8</v>
      </c>
      <c r="C4">
        <v>2624.27</v>
      </c>
      <c r="D4" s="18">
        <v>3.8105835146535989E-2</v>
      </c>
      <c r="E4" s="18">
        <v>0.16300093390059148</v>
      </c>
      <c r="F4" t="s">
        <v>4</v>
      </c>
      <c r="G4">
        <v>100</v>
      </c>
      <c r="H4" s="19">
        <v>1.57084E-3</v>
      </c>
      <c r="I4">
        <v>1</v>
      </c>
      <c r="J4" s="2">
        <v>9.6369999999999997E-3</v>
      </c>
      <c r="K4">
        <v>5966981</v>
      </c>
      <c r="L4" s="6">
        <v>0.58499999999999996</v>
      </c>
      <c r="M4" s="10">
        <v>2000</v>
      </c>
    </row>
    <row r="5" spans="1:13">
      <c r="A5" t="s">
        <v>71</v>
      </c>
      <c r="B5">
        <v>1</v>
      </c>
      <c r="C5">
        <v>5001.24</v>
      </c>
      <c r="D5" s="18">
        <v>1.9995041229775017E-2</v>
      </c>
      <c r="E5" s="18">
        <v>0.13040074712047317</v>
      </c>
      <c r="F5" t="s">
        <v>4</v>
      </c>
      <c r="G5">
        <v>100</v>
      </c>
      <c r="H5" s="19">
        <v>1.57084E-3</v>
      </c>
      <c r="I5">
        <v>1</v>
      </c>
      <c r="J5" s="2">
        <v>1.2046250000000001E-2</v>
      </c>
      <c r="K5">
        <v>6742979</v>
      </c>
      <c r="L5" s="6">
        <v>0.55600000000000005</v>
      </c>
      <c r="M5" s="10">
        <v>2000</v>
      </c>
    </row>
    <row r="6" spans="1:13">
      <c r="A6" t="s">
        <v>72</v>
      </c>
      <c r="B6">
        <v>1.2</v>
      </c>
      <c r="C6">
        <v>8470.56</v>
      </c>
      <c r="D6" s="18">
        <v>1.1805594907538582E-2</v>
      </c>
      <c r="E6" s="18">
        <v>0.10866728926706098</v>
      </c>
      <c r="F6" t="s">
        <v>4</v>
      </c>
      <c r="G6">
        <v>100</v>
      </c>
      <c r="H6" s="19">
        <v>1.57084E-3</v>
      </c>
      <c r="I6">
        <v>1</v>
      </c>
      <c r="J6" s="2">
        <v>1.44555E-2</v>
      </c>
      <c r="K6">
        <v>6110393</v>
      </c>
      <c r="L6" s="6">
        <v>0.57599999999999996</v>
      </c>
      <c r="M6" s="10">
        <v>2000</v>
      </c>
    </row>
    <row r="7" spans="1:13">
      <c r="A7" t="s">
        <v>73</v>
      </c>
      <c r="B7">
        <v>1.6</v>
      </c>
      <c r="C7">
        <v>19452.919999999998</v>
      </c>
      <c r="D7" s="18">
        <v>5.140616421596347E-3</v>
      </c>
      <c r="E7" s="18">
        <v>8.1500466950295739E-2</v>
      </c>
      <c r="F7" t="s">
        <v>4</v>
      </c>
      <c r="G7">
        <v>100</v>
      </c>
      <c r="H7" s="19">
        <v>1.57084E-3</v>
      </c>
      <c r="I7">
        <v>1</v>
      </c>
      <c r="J7" s="2">
        <v>1.9273999999999999E-2</v>
      </c>
      <c r="K7">
        <v>4154136</v>
      </c>
      <c r="L7" s="6">
        <v>0.501</v>
      </c>
      <c r="M7" s="10">
        <v>2000</v>
      </c>
    </row>
    <row r="8" spans="1:13">
      <c r="A8" t="s">
        <v>78</v>
      </c>
      <c r="B8">
        <v>0.8</v>
      </c>
      <c r="C8">
        <v>2624.27</v>
      </c>
      <c r="D8" s="18">
        <v>3.8105835146535989E-2</v>
      </c>
      <c r="E8" s="18">
        <v>0.16300093390059148</v>
      </c>
      <c r="F8" t="s">
        <v>5</v>
      </c>
      <c r="G8">
        <v>100</v>
      </c>
      <c r="H8" s="19">
        <v>1.57084E-3</v>
      </c>
      <c r="I8">
        <v>1</v>
      </c>
      <c r="J8" s="2">
        <v>9.6369999999999997E-3</v>
      </c>
      <c r="K8">
        <v>4520569</v>
      </c>
      <c r="L8" s="6">
        <v>0.49399999999999999</v>
      </c>
      <c r="M8" s="10">
        <v>2000</v>
      </c>
    </row>
    <row r="9" spans="1:13">
      <c r="A9" t="s">
        <v>79</v>
      </c>
      <c r="B9">
        <v>1</v>
      </c>
      <c r="C9">
        <v>5001.24</v>
      </c>
      <c r="D9" s="18">
        <v>1.9995041229775017E-2</v>
      </c>
      <c r="E9" s="18">
        <v>0.130403453428524</v>
      </c>
      <c r="F9" t="s">
        <v>5</v>
      </c>
      <c r="G9">
        <v>100</v>
      </c>
      <c r="H9" s="19">
        <v>1.57084E-3</v>
      </c>
      <c r="I9">
        <v>1</v>
      </c>
      <c r="J9" s="15">
        <v>1.2045999999999999E-2</v>
      </c>
      <c r="K9">
        <v>4726084</v>
      </c>
      <c r="L9" s="6">
        <v>0.502</v>
      </c>
      <c r="M9" s="10">
        <v>2000</v>
      </c>
    </row>
    <row r="10" spans="1:13">
      <c r="A10" t="s">
        <v>80</v>
      </c>
      <c r="B10">
        <v>1.2</v>
      </c>
      <c r="C10">
        <v>8470.56</v>
      </c>
      <c r="D10" s="18">
        <v>1.1805594907538582E-2</v>
      </c>
      <c r="E10" s="18">
        <v>0.10866728926706098</v>
      </c>
      <c r="F10" t="s">
        <v>5</v>
      </c>
      <c r="G10">
        <v>100</v>
      </c>
      <c r="H10" s="19">
        <v>1.57084E-3</v>
      </c>
      <c r="I10">
        <v>1</v>
      </c>
      <c r="J10" s="2">
        <v>1.44555E-2</v>
      </c>
      <c r="K10">
        <v>3934513</v>
      </c>
      <c r="L10" s="6">
        <v>0.38900000000000001</v>
      </c>
      <c r="M10" s="10">
        <v>2000</v>
      </c>
    </row>
    <row r="11" spans="1:13">
      <c r="A11" t="s">
        <v>81</v>
      </c>
      <c r="B11">
        <v>1.6</v>
      </c>
      <c r="C11">
        <v>19452.919999999998</v>
      </c>
      <c r="D11" s="18">
        <v>5.140616421596347E-3</v>
      </c>
      <c r="E11" s="18">
        <v>8.1500466950295739E-2</v>
      </c>
      <c r="F11" t="s">
        <v>5</v>
      </c>
      <c r="G11">
        <v>100</v>
      </c>
      <c r="H11" s="19">
        <v>1.57084E-3</v>
      </c>
      <c r="I11">
        <v>1</v>
      </c>
      <c r="J11" s="2">
        <v>1.9273999999999999E-2</v>
      </c>
      <c r="K11">
        <v>3469121</v>
      </c>
      <c r="L11" s="6">
        <v>0.41699999999999998</v>
      </c>
      <c r="M11" s="10">
        <v>2000</v>
      </c>
    </row>
    <row r="12" spans="1:13">
      <c r="A12" t="s">
        <v>74</v>
      </c>
      <c r="B12">
        <v>0.8</v>
      </c>
      <c r="C12">
        <v>2624.27</v>
      </c>
      <c r="D12" s="18">
        <v>3.8105835146535989E-2</v>
      </c>
      <c r="E12" s="18">
        <v>0.16300093390059148</v>
      </c>
      <c r="F12" t="s">
        <v>4</v>
      </c>
      <c r="G12">
        <v>100</v>
      </c>
      <c r="H12" s="19">
        <v>1.57084E-3</v>
      </c>
      <c r="I12">
        <v>2.5</v>
      </c>
      <c r="J12" s="2">
        <v>9.6369999999999997E-3</v>
      </c>
      <c r="K12">
        <v>5966851</v>
      </c>
      <c r="L12" s="14">
        <v>0.58340000000000003</v>
      </c>
      <c r="M12" s="10">
        <v>2000</v>
      </c>
    </row>
    <row r="13" spans="1:13">
      <c r="A13" t="s">
        <v>75</v>
      </c>
      <c r="B13">
        <v>1.2</v>
      </c>
      <c r="C13">
        <v>8470.56</v>
      </c>
      <c r="D13" s="18">
        <v>1.1805594907538582E-2</v>
      </c>
      <c r="E13" s="18">
        <v>0.10866728926706098</v>
      </c>
      <c r="F13" t="s">
        <v>4</v>
      </c>
      <c r="G13">
        <v>100</v>
      </c>
      <c r="H13" s="19">
        <v>1.57084E-3</v>
      </c>
      <c r="I13">
        <v>2.5</v>
      </c>
      <c r="J13" s="2">
        <v>1.44555E-2</v>
      </c>
      <c r="K13">
        <v>6110393</v>
      </c>
      <c r="L13" s="6">
        <v>0.57599999999999996</v>
      </c>
      <c r="M13" s="10">
        <v>2000</v>
      </c>
    </row>
    <row r="14" spans="1:13">
      <c r="A14" t="s">
        <v>76</v>
      </c>
      <c r="B14">
        <v>1.6</v>
      </c>
      <c r="C14">
        <v>19452.919999999998</v>
      </c>
      <c r="D14" s="18">
        <v>5.140616421596347E-3</v>
      </c>
      <c r="E14" s="18">
        <v>8.1500466950295739E-2</v>
      </c>
      <c r="F14" t="s">
        <v>4</v>
      </c>
      <c r="G14">
        <v>100</v>
      </c>
      <c r="H14" s="19">
        <v>1.57084E-3</v>
      </c>
      <c r="I14">
        <v>2.5</v>
      </c>
      <c r="J14" s="2">
        <v>1.9273999999999999E-2</v>
      </c>
      <c r="K14">
        <v>4154136</v>
      </c>
      <c r="L14" s="6">
        <v>0.501</v>
      </c>
      <c r="M14" s="10">
        <v>2000</v>
      </c>
    </row>
    <row r="15" spans="1:13">
      <c r="A15" t="s">
        <v>82</v>
      </c>
      <c r="B15">
        <v>0.8</v>
      </c>
      <c r="C15">
        <v>2624.27</v>
      </c>
      <c r="D15" s="18">
        <v>3.8105835146535989E-2</v>
      </c>
      <c r="E15" s="18">
        <v>0.16300093390059148</v>
      </c>
      <c r="F15" t="s">
        <v>5</v>
      </c>
      <c r="G15">
        <v>100</v>
      </c>
      <c r="H15" s="19">
        <v>1.57084E-3</v>
      </c>
      <c r="I15">
        <v>2.5</v>
      </c>
      <c r="J15" s="2">
        <v>9.6369999999999997E-3</v>
      </c>
      <c r="K15">
        <v>4520569</v>
      </c>
      <c r="L15" s="6">
        <v>0.49399999999999999</v>
      </c>
      <c r="M15" s="10">
        <v>2000</v>
      </c>
    </row>
    <row r="16" spans="1:13">
      <c r="A16" t="s">
        <v>83</v>
      </c>
      <c r="B16">
        <v>1.2</v>
      </c>
      <c r="C16">
        <v>8470.56</v>
      </c>
      <c r="D16" s="18">
        <v>1.1805594907538582E-2</v>
      </c>
      <c r="E16" s="18">
        <v>0.10866728926706098</v>
      </c>
      <c r="F16" t="s">
        <v>5</v>
      </c>
      <c r="G16">
        <v>100</v>
      </c>
      <c r="H16" s="19">
        <v>1.57084E-3</v>
      </c>
      <c r="I16">
        <v>2.5</v>
      </c>
      <c r="J16" s="2">
        <v>1.44555E-2</v>
      </c>
      <c r="K16">
        <v>3934513</v>
      </c>
      <c r="L16" s="6">
        <v>0.38900000000000001</v>
      </c>
      <c r="M16" s="10">
        <v>2000</v>
      </c>
    </row>
    <row r="17" spans="1:13">
      <c r="A17" t="s">
        <v>84</v>
      </c>
      <c r="B17">
        <v>1.6</v>
      </c>
      <c r="C17">
        <v>19452.919999999998</v>
      </c>
      <c r="D17" s="18">
        <v>5.140616421596347E-3</v>
      </c>
      <c r="E17" s="18">
        <v>8.1500466950295739E-2</v>
      </c>
      <c r="F17" t="s">
        <v>5</v>
      </c>
      <c r="G17">
        <v>100</v>
      </c>
      <c r="H17" s="19">
        <v>1.57084E-3</v>
      </c>
      <c r="I17">
        <v>2.5</v>
      </c>
      <c r="J17" s="2">
        <v>1.9273999999999999E-2</v>
      </c>
      <c r="K17">
        <v>3469121</v>
      </c>
      <c r="L17" s="6">
        <v>0.41699999999999998</v>
      </c>
      <c r="M17" s="10">
        <v>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F1F4-B013-4B36-8A1D-D35E75134C95}">
  <dimension ref="A1:AE25"/>
  <sheetViews>
    <sheetView workbookViewId="0">
      <selection activeCell="E17" sqref="E17"/>
    </sheetView>
  </sheetViews>
  <sheetFormatPr defaultRowHeight="14.4"/>
  <cols>
    <col min="1" max="1" width="10.77734375" bestFit="1" customWidth="1"/>
    <col min="2" max="5" width="11.5546875" customWidth="1"/>
    <col min="8" max="8" width="13.6640625" bestFit="1" customWidth="1"/>
    <col min="9" max="10" width="14.33203125" customWidth="1"/>
    <col min="13" max="13" width="10.5546875" bestFit="1" customWidth="1"/>
    <col min="17" max="17" width="15.44140625" bestFit="1" customWidth="1"/>
    <col min="19" max="19" width="15.21875" bestFit="1" customWidth="1"/>
    <col min="23" max="23" width="12.88671875" bestFit="1" customWidth="1"/>
    <col min="25" max="25" width="17.88671875" customWidth="1"/>
    <col min="26" max="26" width="20.33203125" bestFit="1" customWidth="1"/>
    <col min="27" max="27" width="17.21875" bestFit="1" customWidth="1"/>
    <col min="28" max="28" width="9.5546875" bestFit="1" customWidth="1"/>
  </cols>
  <sheetData>
    <row r="1" spans="1:31">
      <c r="A1" s="4" t="s">
        <v>0</v>
      </c>
      <c r="B1" s="4" t="s">
        <v>1</v>
      </c>
      <c r="C1" s="4" t="s">
        <v>64</v>
      </c>
      <c r="D1" s="4" t="s">
        <v>67</v>
      </c>
      <c r="E1" s="4" t="s">
        <v>68</v>
      </c>
      <c r="F1" s="4" t="s">
        <v>2</v>
      </c>
      <c r="G1" s="4" t="s">
        <v>65</v>
      </c>
      <c r="H1" s="4" t="s">
        <v>66</v>
      </c>
      <c r="I1" s="4" t="s">
        <v>3</v>
      </c>
      <c r="J1" s="4" t="s">
        <v>23</v>
      </c>
      <c r="K1" s="4" t="s">
        <v>41</v>
      </c>
      <c r="L1" s="4" t="s">
        <v>42</v>
      </c>
      <c r="M1" s="4" t="s">
        <v>43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19</v>
      </c>
      <c r="W1" s="4" t="s">
        <v>56</v>
      </c>
      <c r="X1" s="4"/>
      <c r="Y1" s="4" t="s">
        <v>57</v>
      </c>
      <c r="Z1" s="4" t="s">
        <v>58</v>
      </c>
      <c r="AA1" s="4" t="s">
        <v>59</v>
      </c>
      <c r="AB1" s="5" t="s">
        <v>60</v>
      </c>
    </row>
    <row r="2" spans="1:31">
      <c r="A2" t="s">
        <v>69</v>
      </c>
      <c r="B2">
        <v>1.2</v>
      </c>
      <c r="C2">
        <v>8470.56</v>
      </c>
      <c r="D2" s="18">
        <f>G2/C2</f>
        <v>1.2395874652915511E-2</v>
      </c>
      <c r="E2" s="18">
        <f>H2/J2</f>
        <v>0.10866728926706098</v>
      </c>
      <c r="F2" t="s">
        <v>4</v>
      </c>
      <c r="G2">
        <v>105</v>
      </c>
      <c r="H2" s="19">
        <v>1.57084E-3</v>
      </c>
      <c r="I2">
        <v>0.5</v>
      </c>
      <c r="J2" s="2">
        <v>1.44555E-2</v>
      </c>
      <c r="K2">
        <v>6110226</v>
      </c>
      <c r="L2" s="14">
        <v>0.57569999999999999</v>
      </c>
      <c r="M2">
        <v>2000</v>
      </c>
      <c r="N2" s="8">
        <v>0.40210746318320001</v>
      </c>
      <c r="O2" s="8">
        <v>5.1370671659359997E-2</v>
      </c>
      <c r="P2" s="8">
        <v>1.8937775430549999</v>
      </c>
      <c r="Q2" s="8">
        <v>0.71392146371569998</v>
      </c>
      <c r="R2" s="8">
        <v>5.3410624428289998E-2</v>
      </c>
      <c r="S2" s="8">
        <v>1.8702866899820001</v>
      </c>
      <c r="T2" s="8">
        <v>0.31181400053250002</v>
      </c>
      <c r="U2" s="8">
        <v>2.0399527689299998E-3</v>
      </c>
      <c r="V2" s="8">
        <v>-2.3490853072700001E-2</v>
      </c>
      <c r="W2" s="8">
        <f>Q3-Q2</f>
        <v>3.9814798183600009E-2</v>
      </c>
      <c r="X2" s="12">
        <f>W2/Q2</f>
        <v>5.5769156983148473E-2</v>
      </c>
    </row>
    <row r="3" spans="1:31">
      <c r="A3" t="s">
        <v>77</v>
      </c>
      <c r="B3">
        <v>1.2</v>
      </c>
      <c r="C3">
        <v>8470.56</v>
      </c>
      <c r="D3" s="18">
        <f t="shared" ref="D3:D17" si="0">G3/C3</f>
        <v>1.2395874652915511E-2</v>
      </c>
      <c r="E3" s="18">
        <f t="shared" ref="E3:E17" si="1">H3/J3</f>
        <v>0.10866728926706098</v>
      </c>
      <c r="F3" t="s">
        <v>5</v>
      </c>
      <c r="G3">
        <v>105</v>
      </c>
      <c r="H3" s="19">
        <v>1.57084E-3</v>
      </c>
      <c r="I3">
        <v>0.5</v>
      </c>
      <c r="J3" s="2">
        <v>1.44555E-2</v>
      </c>
      <c r="K3">
        <v>3933008</v>
      </c>
      <c r="L3" s="14">
        <v>0.38350000000000001</v>
      </c>
      <c r="M3">
        <v>2000</v>
      </c>
      <c r="N3" s="8">
        <v>0.44223553411650002</v>
      </c>
      <c r="O3" s="8">
        <v>0.14103251573309999</v>
      </c>
      <c r="P3" s="8">
        <v>1.9121651326710001</v>
      </c>
      <c r="Q3" s="8">
        <v>0.75373626189929999</v>
      </c>
      <c r="R3" s="8">
        <v>0.14155139183089999</v>
      </c>
      <c r="S3" s="8">
        <v>1.887437260082</v>
      </c>
      <c r="T3" s="8">
        <v>0.31150072778280002</v>
      </c>
      <c r="U3" s="8">
        <v>5.1887609771480005E-4</v>
      </c>
      <c r="V3" s="8">
        <v>-2.4727872588460001E-2</v>
      </c>
      <c r="X3" s="16"/>
    </row>
    <row r="4" spans="1:31">
      <c r="A4" t="s">
        <v>70</v>
      </c>
      <c r="B4">
        <v>0.8</v>
      </c>
      <c r="C4">
        <v>2624.27</v>
      </c>
      <c r="D4" s="18">
        <f t="shared" si="0"/>
        <v>4.0011126903862791E-2</v>
      </c>
      <c r="E4" s="18">
        <f t="shared" si="1"/>
        <v>0.16300093390059148</v>
      </c>
      <c r="F4" t="s">
        <v>4</v>
      </c>
      <c r="G4">
        <v>105</v>
      </c>
      <c r="H4" s="19">
        <v>1.57084E-3</v>
      </c>
      <c r="I4">
        <v>1</v>
      </c>
      <c r="J4" s="2">
        <v>9.6369999999999997E-3</v>
      </c>
      <c r="K4">
        <v>5966981</v>
      </c>
      <c r="L4" s="6">
        <v>0.58499999999999996</v>
      </c>
      <c r="M4" s="10">
        <v>2000</v>
      </c>
      <c r="N4" s="8">
        <v>0.70169747984520003</v>
      </c>
      <c r="O4" s="8">
        <v>7.1015663615839997E-2</v>
      </c>
      <c r="P4" s="8">
        <v>3.4241769245690001</v>
      </c>
      <c r="Q4" s="8">
        <v>1.2232436901979999</v>
      </c>
      <c r="R4" s="8">
        <v>7.2152297263719994E-2</v>
      </c>
      <c r="S4" s="8">
        <v>3.3839332915089999</v>
      </c>
      <c r="T4" s="8">
        <v>0.52154621035329995</v>
      </c>
      <c r="U4" s="8">
        <v>1.136633647883E-3</v>
      </c>
      <c r="V4" s="8">
        <v>-4.024363306025E-2</v>
      </c>
      <c r="W4" s="7">
        <f>Q12-Q4</f>
        <v>5.8439502722440002</v>
      </c>
      <c r="X4" s="12">
        <f>W4/Q4</f>
        <v>4.7774211459844693</v>
      </c>
    </row>
    <row r="5" spans="1:31">
      <c r="A5" t="s">
        <v>71</v>
      </c>
      <c r="B5">
        <v>1</v>
      </c>
      <c r="C5">
        <v>5001.24</v>
      </c>
      <c r="D5" s="18">
        <f t="shared" si="0"/>
        <v>2.0994793291263768E-2</v>
      </c>
      <c r="E5" s="18">
        <f t="shared" si="1"/>
        <v>0.13040074712047317</v>
      </c>
      <c r="F5" t="s">
        <v>4</v>
      </c>
      <c r="G5">
        <v>105</v>
      </c>
      <c r="H5" s="19">
        <v>1.57084E-3</v>
      </c>
      <c r="I5">
        <v>1</v>
      </c>
      <c r="J5" s="2">
        <v>1.2046250000000001E-2</v>
      </c>
      <c r="K5">
        <v>6742979</v>
      </c>
      <c r="L5" s="6">
        <v>0.55600000000000005</v>
      </c>
      <c r="M5" s="10">
        <v>2000</v>
      </c>
      <c r="N5" s="8">
        <v>1.0281040481099999</v>
      </c>
      <c r="O5" s="8">
        <v>-5.7974312821480002E-2</v>
      </c>
      <c r="P5" s="8">
        <v>5.5282483478850004</v>
      </c>
      <c r="Q5" s="8">
        <v>1.826860189494</v>
      </c>
      <c r="R5" s="8">
        <v>-5.515110528923E-2</v>
      </c>
      <c r="S5" s="8">
        <v>5.4689829926859996</v>
      </c>
      <c r="T5" s="8">
        <v>0.79875614138429996</v>
      </c>
      <c r="U5" s="8">
        <v>2.8232075322570001E-3</v>
      </c>
      <c r="V5" s="8">
        <v>-5.9265355198940002E-2</v>
      </c>
      <c r="W5" s="7"/>
      <c r="X5" s="12"/>
    </row>
    <row r="6" spans="1:31">
      <c r="A6" t="s">
        <v>72</v>
      </c>
      <c r="B6">
        <v>1.2</v>
      </c>
      <c r="C6">
        <v>8470.56</v>
      </c>
      <c r="D6" s="18">
        <f t="shared" si="0"/>
        <v>1.2395874652915511E-2</v>
      </c>
      <c r="E6" s="18">
        <f t="shared" si="1"/>
        <v>0.10866728926706098</v>
      </c>
      <c r="F6" t="s">
        <v>4</v>
      </c>
      <c r="G6">
        <v>105</v>
      </c>
      <c r="H6" s="19">
        <v>1.57084E-3</v>
      </c>
      <c r="I6">
        <v>1</v>
      </c>
      <c r="J6" s="2">
        <v>1.44555E-2</v>
      </c>
      <c r="K6">
        <v>6110393</v>
      </c>
      <c r="L6" s="6">
        <v>0.57599999999999996</v>
      </c>
      <c r="M6" s="10">
        <v>2000</v>
      </c>
      <c r="N6" s="8">
        <v>1.5495703274520001</v>
      </c>
      <c r="O6" s="8">
        <v>0.2286149285928</v>
      </c>
      <c r="P6" s="8">
        <v>7.8712048310230003</v>
      </c>
      <c r="Q6" s="8">
        <v>2.6668485782240001</v>
      </c>
      <c r="R6" s="8">
        <v>0.23427530464769999</v>
      </c>
      <c r="S6" s="8">
        <v>7.784483765519</v>
      </c>
      <c r="T6" s="8">
        <v>1.117278250771</v>
      </c>
      <c r="U6" s="8">
        <v>5.6603760548850001E-3</v>
      </c>
      <c r="V6" s="8">
        <v>-8.6721065503360006E-2</v>
      </c>
      <c r="W6" s="7">
        <f>Q13-Q6</f>
        <v>12.755622583186</v>
      </c>
      <c r="X6" s="12">
        <f>W6/Q6</f>
        <v>4.7830321853821429</v>
      </c>
    </row>
    <row r="7" spans="1:31">
      <c r="A7" t="s">
        <v>73</v>
      </c>
      <c r="B7">
        <v>1.6</v>
      </c>
      <c r="C7">
        <v>19452.919999999998</v>
      </c>
      <c r="D7" s="18">
        <f t="shared" si="0"/>
        <v>5.3976472426761641E-3</v>
      </c>
      <c r="E7" s="18">
        <f t="shared" si="1"/>
        <v>8.1500466950295739E-2</v>
      </c>
      <c r="F7" t="s">
        <v>4</v>
      </c>
      <c r="G7">
        <v>105</v>
      </c>
      <c r="H7" s="19">
        <v>1.57084E-3</v>
      </c>
      <c r="I7">
        <v>1</v>
      </c>
      <c r="J7" s="2">
        <v>1.9273999999999999E-2</v>
      </c>
      <c r="K7">
        <v>4154136</v>
      </c>
      <c r="L7" s="6">
        <v>0.501</v>
      </c>
      <c r="M7" s="10">
        <v>2000</v>
      </c>
      <c r="N7" s="8">
        <v>2.5977214953200001</v>
      </c>
      <c r="O7" s="8">
        <v>-8.6757529824320005E-3</v>
      </c>
      <c r="P7" s="8">
        <v>14.15737781929</v>
      </c>
      <c r="Q7" s="8">
        <v>4.5328686951149999</v>
      </c>
      <c r="R7" s="8">
        <v>-9.0626073206310001E-4</v>
      </c>
      <c r="S7" s="8">
        <v>14.008553332669999</v>
      </c>
      <c r="T7" s="8">
        <v>1.9351471997950001</v>
      </c>
      <c r="U7" s="8">
        <v>7.7694922503690001E-3</v>
      </c>
      <c r="V7" s="8">
        <v>-0.14882448661889999</v>
      </c>
      <c r="W7" s="7">
        <f>Q14-Q7</f>
        <v>21.625156463185</v>
      </c>
      <c r="X7" s="12">
        <f>W7/Q7</f>
        <v>4.7707440735025228</v>
      </c>
    </row>
    <row r="8" spans="1:31">
      <c r="A8" t="s">
        <v>78</v>
      </c>
      <c r="B8">
        <v>0.8</v>
      </c>
      <c r="C8">
        <v>2624.27</v>
      </c>
      <c r="D8" s="18">
        <f t="shared" si="0"/>
        <v>4.0011126903862791E-2</v>
      </c>
      <c r="E8" s="18">
        <f t="shared" si="1"/>
        <v>0.16300093390059148</v>
      </c>
      <c r="F8" t="s">
        <v>5</v>
      </c>
      <c r="G8">
        <v>105</v>
      </c>
      <c r="H8" s="19">
        <v>1.57084E-3</v>
      </c>
      <c r="I8">
        <v>1</v>
      </c>
      <c r="J8" s="2">
        <v>9.6369999999999997E-3</v>
      </c>
      <c r="K8">
        <v>4520569</v>
      </c>
      <c r="L8" s="6">
        <v>0.49399999999999999</v>
      </c>
      <c r="M8" s="10">
        <v>2000</v>
      </c>
      <c r="N8" s="8">
        <v>1.0220357756809999</v>
      </c>
      <c r="O8" s="8">
        <v>0.55874414369089997</v>
      </c>
      <c r="P8" s="8">
        <v>3.4216532908359998</v>
      </c>
      <c r="Q8" s="8">
        <v>1.5555079868990001</v>
      </c>
      <c r="R8" s="8">
        <v>0.55730316333179997</v>
      </c>
      <c r="S8" s="8">
        <v>3.3809263936780001</v>
      </c>
      <c r="T8" s="8">
        <v>0.53347221121849997</v>
      </c>
      <c r="U8" s="8">
        <v>-1.4409803591320001E-3</v>
      </c>
      <c r="V8" s="8">
        <v>-4.0726897157749999E-2</v>
      </c>
      <c r="W8" s="7">
        <f>Q8-Q4</f>
        <v>0.33226429670100011</v>
      </c>
      <c r="X8" s="12">
        <f>(Q8-Q4)/Q4</f>
        <v>0.27162559624339305</v>
      </c>
      <c r="Y8">
        <f>W8*I8</f>
        <v>0.33226429670100011</v>
      </c>
      <c r="Z8">
        <f>Y8/0.25</f>
        <v>1.3290571868040004</v>
      </c>
      <c r="AA8" s="10">
        <f>Z8*3600</f>
        <v>4784.6058724944014</v>
      </c>
      <c r="AB8" s="11">
        <f>AA8*24/1000</f>
        <v>114.83054093986563</v>
      </c>
      <c r="AD8">
        <f>LOG(X8)</f>
        <v>-0.56602930735367851</v>
      </c>
      <c r="AE8">
        <f>LOG(B8)</f>
        <v>-9.6910013008056392E-2</v>
      </c>
    </row>
    <row r="9" spans="1:31">
      <c r="A9" t="s">
        <v>79</v>
      </c>
      <c r="B9">
        <v>1</v>
      </c>
      <c r="C9">
        <v>5001.24</v>
      </c>
      <c r="D9" s="18">
        <f t="shared" si="0"/>
        <v>2.0994793291263768E-2</v>
      </c>
      <c r="E9" s="18">
        <f t="shared" si="1"/>
        <v>0.130403453428524</v>
      </c>
      <c r="F9" t="s">
        <v>5</v>
      </c>
      <c r="G9">
        <v>105</v>
      </c>
      <c r="H9" s="19">
        <v>1.57084E-3</v>
      </c>
      <c r="I9">
        <v>1</v>
      </c>
      <c r="J9" s="15">
        <v>1.2045999999999999E-2</v>
      </c>
      <c r="K9">
        <v>4726084</v>
      </c>
      <c r="L9" s="6">
        <v>0.502</v>
      </c>
      <c r="M9" s="10">
        <v>2000</v>
      </c>
      <c r="N9" s="8">
        <v>1.4233264783690001</v>
      </c>
      <c r="O9" s="8">
        <v>0.600367754506</v>
      </c>
      <c r="P9" s="8">
        <v>5.5058183919200001</v>
      </c>
      <c r="Q9" s="8">
        <v>2.208170386346</v>
      </c>
      <c r="R9" s="8">
        <v>0.59842657489640005</v>
      </c>
      <c r="S9" s="8">
        <v>5.4459071375669996</v>
      </c>
      <c r="T9" s="8">
        <v>0.78484390797659997</v>
      </c>
      <c r="U9" s="8">
        <v>-1.9411796095739999E-3</v>
      </c>
      <c r="V9" s="8">
        <v>-5.9911254353109997E-2</v>
      </c>
      <c r="W9" s="7">
        <f>Q9-Q5</f>
        <v>0.38131019685200007</v>
      </c>
      <c r="X9" s="12">
        <f>(Q9-Q5)/Q5</f>
        <v>0.20872434521528141</v>
      </c>
      <c r="AA9" s="10"/>
      <c r="AB9" s="11"/>
    </row>
    <row r="10" spans="1:31">
      <c r="A10" t="s">
        <v>80</v>
      </c>
      <c r="B10">
        <v>1.2</v>
      </c>
      <c r="C10">
        <v>8470.56</v>
      </c>
      <c r="D10" s="18">
        <f t="shared" si="0"/>
        <v>1.2395874652915511E-2</v>
      </c>
      <c r="E10" s="18">
        <f t="shared" si="1"/>
        <v>0.10866728926706098</v>
      </c>
      <c r="F10" t="s">
        <v>5</v>
      </c>
      <c r="G10">
        <v>105</v>
      </c>
      <c r="H10" s="19">
        <v>1.57084E-3</v>
      </c>
      <c r="I10">
        <v>1</v>
      </c>
      <c r="J10" s="2">
        <v>1.44555E-2</v>
      </c>
      <c r="K10">
        <v>3934513</v>
      </c>
      <c r="L10" s="6">
        <v>0.38900000000000001</v>
      </c>
      <c r="M10" s="10">
        <v>2000</v>
      </c>
      <c r="N10" s="8">
        <v>1.712618005682</v>
      </c>
      <c r="O10" s="8">
        <v>0.53985956859249995</v>
      </c>
      <c r="P10" s="8">
        <v>7.8580942134320004</v>
      </c>
      <c r="Q10" s="8">
        <v>2.8232819248780001</v>
      </c>
      <c r="R10" s="8">
        <v>0.53927932608499995</v>
      </c>
      <c r="S10" s="8">
        <v>7.7685744091049997</v>
      </c>
      <c r="T10" s="8">
        <v>1.110663919197</v>
      </c>
      <c r="U10" s="8">
        <v>-5.8024250743330004E-4</v>
      </c>
      <c r="V10" s="8">
        <v>-8.9519804327300001E-2</v>
      </c>
      <c r="W10" s="7">
        <f>Q10-Q6</f>
        <v>0.15643334665399999</v>
      </c>
      <c r="X10" s="12">
        <f>(Q10-Q6)/Q6</f>
        <v>5.8658503497854196E-2</v>
      </c>
      <c r="Y10">
        <f>W10*I10</f>
        <v>0.15643334665399999</v>
      </c>
      <c r="Z10">
        <f>Y10/0.25</f>
        <v>0.62573338661599998</v>
      </c>
      <c r="AA10" s="10">
        <f>Z10*3600</f>
        <v>2252.6401918175998</v>
      </c>
      <c r="AB10" s="11">
        <f>AA10*24/1000</f>
        <v>54.063364603622396</v>
      </c>
      <c r="AD10">
        <f t="shared" ref="AD10:AD11" si="2">LOG(X10)</f>
        <v>-1.2316690209823753</v>
      </c>
      <c r="AE10">
        <f t="shared" ref="AE10:AE11" si="3">LOG(B10)</f>
        <v>7.9181246047624818E-2</v>
      </c>
    </row>
    <row r="11" spans="1:31">
      <c r="A11" t="s">
        <v>81</v>
      </c>
      <c r="B11">
        <v>1.6</v>
      </c>
      <c r="C11">
        <v>19452.919999999998</v>
      </c>
      <c r="D11" s="18">
        <f t="shared" si="0"/>
        <v>5.3976472426761641E-3</v>
      </c>
      <c r="E11" s="18">
        <f t="shared" si="1"/>
        <v>8.1500466950295739E-2</v>
      </c>
      <c r="F11" t="s">
        <v>5</v>
      </c>
      <c r="G11">
        <v>105</v>
      </c>
      <c r="H11" s="19">
        <v>1.57084E-3</v>
      </c>
      <c r="I11">
        <v>1</v>
      </c>
      <c r="J11" s="2">
        <v>1.9273999999999999E-2</v>
      </c>
      <c r="K11">
        <v>3469121</v>
      </c>
      <c r="L11" s="6">
        <v>0.41699999999999998</v>
      </c>
      <c r="M11" s="10">
        <v>2000</v>
      </c>
      <c r="N11" s="8">
        <v>2.8213612261569998</v>
      </c>
      <c r="O11" s="8">
        <v>0.73639513648209998</v>
      </c>
      <c r="P11" s="8">
        <v>14.12556297731</v>
      </c>
      <c r="Q11" s="8">
        <v>4.7349878628589996</v>
      </c>
      <c r="R11" s="8">
        <v>0.74178779137359996</v>
      </c>
      <c r="S11" s="8">
        <v>13.968604328690001</v>
      </c>
      <c r="T11" s="8">
        <v>1.9136266367020001</v>
      </c>
      <c r="U11" s="8">
        <v>5.3926548915410001E-3</v>
      </c>
      <c r="V11" s="8">
        <v>-0.1569586486173</v>
      </c>
      <c r="W11" s="7">
        <f>Q11-Q7</f>
        <v>0.20211916774399974</v>
      </c>
      <c r="X11" s="12">
        <f>(Q11-Q7)/Q7</f>
        <v>4.4589680694219168E-2</v>
      </c>
      <c r="Y11">
        <f>W11*I11</f>
        <v>0.20211916774399974</v>
      </c>
      <c r="Z11">
        <f>Y11/0.25</f>
        <v>0.80847667097599896</v>
      </c>
      <c r="AA11" s="10">
        <f>Z11*3600</f>
        <v>2910.5160155135964</v>
      </c>
      <c r="AB11" s="11">
        <f t="shared" ref="AB11:AB17" si="4">AA11*24/1000</f>
        <v>69.852384372326313</v>
      </c>
      <c r="AD11">
        <f t="shared" si="2"/>
        <v>-1.3507656376130563</v>
      </c>
      <c r="AE11">
        <f t="shared" si="3"/>
        <v>0.20411998265592479</v>
      </c>
    </row>
    <row r="12" spans="1:31">
      <c r="A12" t="s">
        <v>74</v>
      </c>
      <c r="B12">
        <v>0.8</v>
      </c>
      <c r="C12">
        <v>2624.27</v>
      </c>
      <c r="D12" s="18">
        <f t="shared" si="0"/>
        <v>4.0011126903862791E-2</v>
      </c>
      <c r="E12" s="18">
        <f t="shared" si="1"/>
        <v>0.16300093390059148</v>
      </c>
      <c r="F12" t="s">
        <v>4</v>
      </c>
      <c r="G12">
        <v>105</v>
      </c>
      <c r="H12" s="19">
        <v>1.57084E-3</v>
      </c>
      <c r="I12">
        <v>2.5</v>
      </c>
      <c r="J12" s="2">
        <v>9.6369999999999997E-3</v>
      </c>
      <c r="K12">
        <v>5966851</v>
      </c>
      <c r="L12" s="14">
        <v>0.58340000000000003</v>
      </c>
      <c r="M12" s="10">
        <v>2000</v>
      </c>
      <c r="N12" s="8">
        <v>4.1730546224160001</v>
      </c>
      <c r="O12" s="8">
        <v>0.63712068150479995</v>
      </c>
      <c r="P12" s="8">
        <v>22.20185575739</v>
      </c>
      <c r="Q12" s="8">
        <v>7.0671939624420004</v>
      </c>
      <c r="R12" s="8">
        <v>0.64062481920119996</v>
      </c>
      <c r="S12" s="8">
        <v>21.980108963399999</v>
      </c>
      <c r="T12" s="8">
        <v>2.8941393400250002</v>
      </c>
      <c r="U12" s="8">
        <v>3.5041376963860001E-3</v>
      </c>
      <c r="V12" s="8">
        <v>-0.221746793996</v>
      </c>
      <c r="W12" s="8">
        <f>Q15-Q8</f>
        <v>7.6557904028950006</v>
      </c>
      <c r="X12" s="12">
        <f>W12/Q8</f>
        <v>4.9217300504880628</v>
      </c>
      <c r="AA12" s="10"/>
      <c r="AB12" s="11"/>
    </row>
    <row r="13" spans="1:31">
      <c r="A13" t="s">
        <v>75</v>
      </c>
      <c r="B13">
        <v>1.2</v>
      </c>
      <c r="C13">
        <v>8470.56</v>
      </c>
      <c r="D13" s="18">
        <f t="shared" si="0"/>
        <v>1.2395874652915511E-2</v>
      </c>
      <c r="E13" s="18">
        <f t="shared" si="1"/>
        <v>0.10866728926706098</v>
      </c>
      <c r="F13" t="s">
        <v>4</v>
      </c>
      <c r="G13">
        <v>105</v>
      </c>
      <c r="H13" s="19">
        <v>1.57084E-3</v>
      </c>
      <c r="I13">
        <v>2.5</v>
      </c>
      <c r="J13" s="2">
        <v>1.44555E-2</v>
      </c>
      <c r="K13">
        <v>6110393</v>
      </c>
      <c r="L13" s="6">
        <v>0.57599999999999996</v>
      </c>
      <c r="M13" s="10">
        <v>2000</v>
      </c>
      <c r="N13" s="8">
        <v>9.2803471496889998</v>
      </c>
      <c r="O13" s="8">
        <v>1.960910805878</v>
      </c>
      <c r="P13" s="8">
        <v>50.731919829420001</v>
      </c>
      <c r="Q13" s="8">
        <v>15.42247116141</v>
      </c>
      <c r="R13" s="8">
        <v>1.9844145176550001</v>
      </c>
      <c r="S13" s="8">
        <v>50.262060922899998</v>
      </c>
      <c r="T13" s="8">
        <v>6.1421240117179998</v>
      </c>
      <c r="U13" s="8">
        <v>2.3503711777670001E-2</v>
      </c>
      <c r="V13" s="8">
        <v>-0.46985890651349999</v>
      </c>
      <c r="W13" s="8">
        <f t="shared" ref="W13:W14" si="5">Q16-Q10</f>
        <v>13.543796262772002</v>
      </c>
      <c r="X13" s="12">
        <f t="shared" ref="X13:X14" si="6">W13/Q10</f>
        <v>4.7971816570735344</v>
      </c>
      <c r="AA13" s="10"/>
      <c r="AB13" s="11"/>
    </row>
    <row r="14" spans="1:31">
      <c r="A14" t="s">
        <v>76</v>
      </c>
      <c r="B14">
        <v>1.6</v>
      </c>
      <c r="C14">
        <v>19452.919999999998</v>
      </c>
      <c r="D14" s="18">
        <f t="shared" si="0"/>
        <v>5.3976472426761641E-3</v>
      </c>
      <c r="E14" s="18">
        <f t="shared" si="1"/>
        <v>8.1500466950295739E-2</v>
      </c>
      <c r="F14" t="s">
        <v>4</v>
      </c>
      <c r="G14">
        <v>105</v>
      </c>
      <c r="H14" s="19">
        <v>1.57084E-3</v>
      </c>
      <c r="I14">
        <v>2.5</v>
      </c>
      <c r="J14" s="2">
        <v>1.9273999999999999E-2</v>
      </c>
      <c r="K14">
        <v>4154136</v>
      </c>
      <c r="L14" s="6">
        <v>0.501</v>
      </c>
      <c r="M14" s="10">
        <v>2000</v>
      </c>
      <c r="N14" s="8">
        <v>15.67520421919</v>
      </c>
      <c r="O14" s="8">
        <v>-0.14762267438990001</v>
      </c>
      <c r="P14" s="8">
        <v>90.185035154849999</v>
      </c>
      <c r="Q14" s="8">
        <v>26.158025158299999</v>
      </c>
      <c r="R14" s="8">
        <v>-0.1210787568667</v>
      </c>
      <c r="S14" s="8">
        <v>89.410634442930004</v>
      </c>
      <c r="T14" s="8">
        <v>10.48282093912</v>
      </c>
      <c r="U14" s="8">
        <v>2.6543917523230001E-2</v>
      </c>
      <c r="V14" s="8">
        <v>-0.77440071192290005</v>
      </c>
      <c r="W14" s="8">
        <f t="shared" si="5"/>
        <v>22.633323043421001</v>
      </c>
      <c r="X14" s="12">
        <f t="shared" si="6"/>
        <v>4.7800171191473622</v>
      </c>
      <c r="AA14" s="10"/>
      <c r="AB14" s="11"/>
    </row>
    <row r="15" spans="1:31">
      <c r="A15" t="s">
        <v>82</v>
      </c>
      <c r="B15">
        <v>0.8</v>
      </c>
      <c r="C15">
        <v>2624.27</v>
      </c>
      <c r="D15" s="18">
        <f t="shared" si="0"/>
        <v>4.0011126903862791E-2</v>
      </c>
      <c r="E15" s="18">
        <f t="shared" si="1"/>
        <v>0.16300093390059148</v>
      </c>
      <c r="F15" t="s">
        <v>5</v>
      </c>
      <c r="G15">
        <v>105</v>
      </c>
      <c r="H15" s="19">
        <v>1.57084E-3</v>
      </c>
      <c r="I15">
        <v>2.5</v>
      </c>
      <c r="J15" s="2">
        <v>9.6369999999999997E-3</v>
      </c>
      <c r="K15">
        <v>4520569</v>
      </c>
      <c r="L15" s="6">
        <v>0.49399999999999999</v>
      </c>
      <c r="M15" s="10">
        <v>2000</v>
      </c>
      <c r="N15" s="8">
        <v>6.252502398102</v>
      </c>
      <c r="O15" s="8">
        <v>3.4126924329800001</v>
      </c>
      <c r="P15" s="8">
        <v>21.856779985020001</v>
      </c>
      <c r="Q15" s="8">
        <v>9.2112983897940008</v>
      </c>
      <c r="R15" s="8">
        <v>3.3980093122609998</v>
      </c>
      <c r="S15" s="8">
        <v>21.63371157832</v>
      </c>
      <c r="T15" s="8">
        <v>2.9587959916919999</v>
      </c>
      <c r="U15" s="8">
        <v>-1.4683120719120001E-2</v>
      </c>
      <c r="V15" s="8">
        <v>-0.2230684067</v>
      </c>
      <c r="W15" s="7">
        <f>Q15-Q12</f>
        <v>2.1441044273520005</v>
      </c>
      <c r="X15" s="12">
        <f>(Q15-Q12)/Q12</f>
        <v>0.30338836584175566</v>
      </c>
      <c r="Y15">
        <f>W15*I15</f>
        <v>5.3602610683800016</v>
      </c>
      <c r="Z15">
        <f>Y15/0.25</f>
        <v>21.441044273520006</v>
      </c>
      <c r="AA15" s="10">
        <f>Z15*3600</f>
        <v>77187.759384672026</v>
      </c>
      <c r="AB15" s="11">
        <f t="shared" ref="AB15" si="7">AA15*24/1000</f>
        <v>1852.5062252321286</v>
      </c>
    </row>
    <row r="16" spans="1:31">
      <c r="A16" t="s">
        <v>83</v>
      </c>
      <c r="B16">
        <v>1.2</v>
      </c>
      <c r="C16">
        <v>8470.56</v>
      </c>
      <c r="D16" s="18">
        <f t="shared" si="0"/>
        <v>1.2395874652915511E-2</v>
      </c>
      <c r="E16" s="18">
        <f t="shared" si="1"/>
        <v>0.10866728926706098</v>
      </c>
      <c r="F16" t="s">
        <v>5</v>
      </c>
      <c r="G16">
        <v>105</v>
      </c>
      <c r="H16" s="19">
        <v>1.57084E-3</v>
      </c>
      <c r="I16">
        <v>2.5</v>
      </c>
      <c r="J16" s="2">
        <v>1.44555E-2</v>
      </c>
      <c r="K16">
        <v>3934513</v>
      </c>
      <c r="L16" s="6">
        <v>0.38900000000000001</v>
      </c>
      <c r="M16" s="10">
        <v>2000</v>
      </c>
      <c r="N16" s="8">
        <v>10.3067906494</v>
      </c>
      <c r="O16" s="8">
        <v>3.417758872127</v>
      </c>
      <c r="P16" s="8">
        <v>50.326510940059997</v>
      </c>
      <c r="Q16" s="8">
        <v>16.367078187650002</v>
      </c>
      <c r="R16" s="8">
        <v>3.4052688847120001</v>
      </c>
      <c r="S16" s="8">
        <v>49.855071614030003</v>
      </c>
      <c r="T16" s="8">
        <v>6.0602875382469996</v>
      </c>
      <c r="U16" s="8">
        <v>-1.2489987414979999E-2</v>
      </c>
      <c r="V16" s="8">
        <v>-0.47143932602499999</v>
      </c>
      <c r="W16" s="7">
        <f>Q16-Q13</f>
        <v>0.9446070262400017</v>
      </c>
      <c r="X16" s="12">
        <f>(Q16-Q13)/Q13</f>
        <v>6.1248746478683058E-2</v>
      </c>
      <c r="Y16">
        <f>W16*I16</f>
        <v>2.3615175656000043</v>
      </c>
      <c r="Z16">
        <f>Y16/0.25</f>
        <v>9.446070262400017</v>
      </c>
      <c r="AA16" s="10">
        <f>Z16*3600</f>
        <v>34005.852944640064</v>
      </c>
      <c r="AB16" s="11">
        <f t="shared" si="4"/>
        <v>816.14047067136153</v>
      </c>
    </row>
    <row r="17" spans="1:28">
      <c r="A17" t="s">
        <v>84</v>
      </c>
      <c r="B17">
        <v>1.6</v>
      </c>
      <c r="C17">
        <v>19452.919999999998</v>
      </c>
      <c r="D17" s="18">
        <f t="shared" si="0"/>
        <v>5.3976472426761641E-3</v>
      </c>
      <c r="E17" s="18">
        <f t="shared" si="1"/>
        <v>8.1500466950295739E-2</v>
      </c>
      <c r="F17" t="s">
        <v>5</v>
      </c>
      <c r="G17">
        <v>105</v>
      </c>
      <c r="H17" s="19">
        <v>1.57084E-3</v>
      </c>
      <c r="I17">
        <v>2.5</v>
      </c>
      <c r="J17" s="2">
        <v>1.9273999999999999E-2</v>
      </c>
      <c r="K17">
        <v>3469121</v>
      </c>
      <c r="L17" s="6">
        <v>0.41699999999999998</v>
      </c>
      <c r="M17" s="10">
        <v>2000</v>
      </c>
      <c r="N17" s="8">
        <v>17.049516931709999</v>
      </c>
      <c r="O17" s="8">
        <v>3.961612060617</v>
      </c>
      <c r="P17" s="8">
        <v>89.978048061470005</v>
      </c>
      <c r="Q17" s="8">
        <v>27.368310906280001</v>
      </c>
      <c r="R17" s="8">
        <v>3.9782086231110001</v>
      </c>
      <c r="S17" s="8">
        <v>89.150352422040001</v>
      </c>
      <c r="T17" s="8">
        <v>10.318793974569999</v>
      </c>
      <c r="U17" s="8">
        <v>1.6596562494450001E-2</v>
      </c>
      <c r="V17" s="8">
        <v>-0.82769563943489999</v>
      </c>
      <c r="W17" s="7">
        <f>Q17-Q14</f>
        <v>1.2102857479800022</v>
      </c>
      <c r="X17" s="12">
        <f>(Q17-Q14)/Q14</f>
        <v>4.6268238548427876E-2</v>
      </c>
      <c r="Y17">
        <f>W17*I17</f>
        <v>3.0257143699500055</v>
      </c>
      <c r="Z17">
        <f>Y17/0.25</f>
        <v>12.102857479800022</v>
      </c>
      <c r="AA17" s="10">
        <f>Z17*3600</f>
        <v>43570.286927280082</v>
      </c>
      <c r="AB17" s="11">
        <f t="shared" si="4"/>
        <v>1045.6868862547219</v>
      </c>
    </row>
    <row r="20" spans="1:28">
      <c r="Z20" s="17">
        <f>X15/X8</f>
        <v>1.1169358486005907</v>
      </c>
    </row>
    <row r="21" spans="1:28">
      <c r="Z21" s="17">
        <f>X17/X11</f>
        <v>1.0376445363159177</v>
      </c>
    </row>
    <row r="25" spans="1:28">
      <c r="N25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FBA4-4293-4476-834D-608BAE5795C9}">
  <dimension ref="A1:U11"/>
  <sheetViews>
    <sheetView workbookViewId="0">
      <selection activeCell="U6" sqref="U6"/>
    </sheetView>
  </sheetViews>
  <sheetFormatPr defaultRowHeight="14.4"/>
  <cols>
    <col min="1" max="1" width="7.44140625" bestFit="1" customWidth="1"/>
    <col min="2" max="2" width="28.21875" customWidth="1"/>
    <col min="3" max="3" width="11.6640625" customWidth="1"/>
    <col min="4" max="4" width="5.88671875" customWidth="1"/>
    <col min="5" max="5" width="14.77734375" customWidth="1"/>
    <col min="6" max="6" width="11.44140625" customWidth="1"/>
    <col min="7" max="7" width="13.88671875" bestFit="1" customWidth="1"/>
    <col min="8" max="8" width="10.77734375" bestFit="1" customWidth="1"/>
    <col min="9" max="9" width="9" bestFit="1" customWidth="1"/>
    <col min="10" max="10" width="11.77734375" customWidth="1"/>
    <col min="11" max="11" width="14.44140625" customWidth="1"/>
    <col min="12" max="12" width="19.77734375" customWidth="1"/>
    <col min="13" max="14" width="19.5546875" customWidth="1"/>
    <col min="15" max="15" width="16.5546875" customWidth="1"/>
    <col min="16" max="17" width="16.44140625" customWidth="1"/>
    <col min="18" max="18" width="18.6640625" customWidth="1"/>
    <col min="19" max="20" width="18.44140625" customWidth="1"/>
  </cols>
  <sheetData>
    <row r="1" spans="1:21">
      <c r="A1" s="4" t="s">
        <v>0</v>
      </c>
      <c r="B1" s="4" t="s">
        <v>32</v>
      </c>
      <c r="C1" s="4" t="s">
        <v>1</v>
      </c>
      <c r="D1" s="4" t="s">
        <v>2</v>
      </c>
      <c r="E1" s="4" t="s">
        <v>3</v>
      </c>
      <c r="F1" s="5" t="s">
        <v>24</v>
      </c>
      <c r="G1" s="5" t="s">
        <v>25</v>
      </c>
      <c r="H1" s="5" t="s">
        <v>36</v>
      </c>
      <c r="I1" s="5" t="s">
        <v>28</v>
      </c>
      <c r="J1" s="5" t="s">
        <v>27</v>
      </c>
      <c r="K1" s="5" t="s">
        <v>31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63</v>
      </c>
    </row>
    <row r="2" spans="1:21">
      <c r="A2" t="s">
        <v>93</v>
      </c>
      <c r="B2" t="s">
        <v>34</v>
      </c>
      <c r="C2">
        <v>80</v>
      </c>
      <c r="D2" t="s">
        <v>4</v>
      </c>
      <c r="E2">
        <v>1</v>
      </c>
      <c r="F2" t="s">
        <v>29</v>
      </c>
      <c r="G2" t="s">
        <v>30</v>
      </c>
      <c r="H2">
        <v>1540100</v>
      </c>
      <c r="I2">
        <v>2088741</v>
      </c>
      <c r="J2">
        <v>87.97</v>
      </c>
      <c r="K2">
        <v>0.46</v>
      </c>
      <c r="L2" s="8">
        <v>0.90199499244839998</v>
      </c>
      <c r="M2" s="8">
        <v>-0.23043435406939999</v>
      </c>
      <c r="N2" s="8">
        <v>3.272554643291</v>
      </c>
      <c r="O2" s="8">
        <v>1.447775751205</v>
      </c>
      <c r="P2" s="8">
        <v>-0.22981746178660001</v>
      </c>
      <c r="Q2" s="8">
        <v>3.237534456723</v>
      </c>
      <c r="R2" s="8">
        <v>0.54578075875690002</v>
      </c>
      <c r="S2" s="8">
        <v>6.1689228278610005E-4</v>
      </c>
      <c r="T2" s="8">
        <v>-3.502018656842E-2</v>
      </c>
      <c r="U2" s="8"/>
    </row>
    <row r="3" spans="1:21">
      <c r="A3" t="s">
        <v>93</v>
      </c>
      <c r="B3" t="s">
        <v>33</v>
      </c>
      <c r="C3">
        <v>80</v>
      </c>
      <c r="D3" t="s">
        <v>4</v>
      </c>
      <c r="E3">
        <v>1</v>
      </c>
      <c r="F3" t="s">
        <v>29</v>
      </c>
      <c r="G3" t="s">
        <v>35</v>
      </c>
      <c r="H3">
        <v>1979896</v>
      </c>
      <c r="I3">
        <v>2376287</v>
      </c>
      <c r="J3" s="6">
        <v>87.85</v>
      </c>
      <c r="K3" s="6">
        <v>0.52</v>
      </c>
      <c r="L3" s="8">
        <v>1.091269017386</v>
      </c>
      <c r="M3" s="8">
        <v>3.9214825997960001E-2</v>
      </c>
      <c r="N3" s="8">
        <v>3.580607602453</v>
      </c>
      <c r="O3" s="8">
        <v>1.6530300836139999</v>
      </c>
      <c r="P3" s="8">
        <v>4.1632204535660002E-2</v>
      </c>
      <c r="Q3" s="8">
        <v>3.5510481054269998</v>
      </c>
      <c r="R3" s="8">
        <v>0.56176106622809996</v>
      </c>
      <c r="S3" s="8">
        <v>2.4173785377030002E-3</v>
      </c>
      <c r="T3" s="8">
        <v>-2.9559497025599998E-2</v>
      </c>
      <c r="U3" s="8"/>
    </row>
    <row r="4" spans="1:21">
      <c r="A4" t="s">
        <v>93</v>
      </c>
      <c r="B4" t="s">
        <v>34</v>
      </c>
      <c r="C4">
        <v>80</v>
      </c>
      <c r="D4" t="s">
        <v>4</v>
      </c>
      <c r="E4">
        <v>1</v>
      </c>
      <c r="F4" t="s">
        <v>26</v>
      </c>
      <c r="G4">
        <v>5</v>
      </c>
      <c r="H4" s="6">
        <v>3555913</v>
      </c>
      <c r="I4">
        <v>989374</v>
      </c>
      <c r="J4">
        <v>89.1</v>
      </c>
      <c r="L4" s="8">
        <v>0.94980592473040004</v>
      </c>
      <c r="M4" s="8">
        <v>-9.3487869721279995E-2</v>
      </c>
      <c r="N4" s="8">
        <v>3.6421473015329999</v>
      </c>
      <c r="O4" s="8">
        <v>1.457236863905</v>
      </c>
      <c r="P4" s="8">
        <v>-9.2793742356510001E-2</v>
      </c>
      <c r="Q4" s="8">
        <v>3.6091529654499999</v>
      </c>
      <c r="R4" s="8">
        <v>0.50743093917509996</v>
      </c>
      <c r="S4" s="8">
        <v>6.9412736476509996E-4</v>
      </c>
      <c r="T4" s="8">
        <v>-3.2994336082779997E-2</v>
      </c>
      <c r="U4" s="8"/>
    </row>
    <row r="5" spans="1:21">
      <c r="A5" t="s">
        <v>93</v>
      </c>
      <c r="B5" t="s">
        <v>33</v>
      </c>
      <c r="C5">
        <v>80</v>
      </c>
      <c r="D5" t="s">
        <v>4</v>
      </c>
      <c r="E5">
        <v>1</v>
      </c>
      <c r="F5" t="s">
        <v>29</v>
      </c>
      <c r="G5" t="s">
        <v>30</v>
      </c>
      <c r="H5">
        <v>4103420</v>
      </c>
      <c r="I5">
        <v>4852123</v>
      </c>
      <c r="J5" s="6">
        <v>85.7</v>
      </c>
      <c r="K5" s="6">
        <v>0.54</v>
      </c>
      <c r="L5" s="8">
        <v>0.89481191381339997</v>
      </c>
      <c r="M5" s="8">
        <v>-1.7446740424460001E-2</v>
      </c>
      <c r="N5" s="8">
        <v>3.7225151850630001</v>
      </c>
      <c r="O5" s="8">
        <v>1.4389070420900001</v>
      </c>
      <c r="P5" s="8">
        <v>-1.638260254977E-2</v>
      </c>
      <c r="Q5" s="8">
        <v>3.6865902139509998</v>
      </c>
      <c r="R5" s="8">
        <v>0.54409512827679996</v>
      </c>
      <c r="S5" s="8">
        <v>1.0641378746900001E-3</v>
      </c>
      <c r="T5" s="8">
        <v>-3.5924971112089997E-2</v>
      </c>
      <c r="U5" s="8"/>
    </row>
    <row r="6" spans="1:21">
      <c r="A6" t="s">
        <v>92</v>
      </c>
      <c r="B6" t="s">
        <v>33</v>
      </c>
      <c r="C6">
        <v>80</v>
      </c>
      <c r="D6" t="s">
        <v>4</v>
      </c>
      <c r="E6">
        <v>1</v>
      </c>
      <c r="F6" t="s">
        <v>29</v>
      </c>
      <c r="G6" t="s">
        <v>37</v>
      </c>
      <c r="H6">
        <v>7657633</v>
      </c>
      <c r="I6">
        <v>10124840</v>
      </c>
      <c r="J6" s="6">
        <v>86.56</v>
      </c>
      <c r="K6" s="6">
        <v>0.59</v>
      </c>
      <c r="L6" s="8">
        <v>0.70726252385900001</v>
      </c>
      <c r="M6" s="8">
        <v>9.4554272177810005E-3</v>
      </c>
      <c r="N6" s="8">
        <v>3.382573020828</v>
      </c>
      <c r="O6" s="8">
        <v>1.232247359147</v>
      </c>
      <c r="P6" s="8">
        <v>1.1756017857250001E-2</v>
      </c>
      <c r="Q6" s="8">
        <v>3.3428823449</v>
      </c>
      <c r="R6" s="8">
        <v>0.52498483528789996</v>
      </c>
      <c r="S6" s="8">
        <v>2.3005906394680002E-3</v>
      </c>
      <c r="T6" s="8">
        <v>-3.9690675927620003E-2</v>
      </c>
      <c r="U6" s="8">
        <v>0</v>
      </c>
    </row>
    <row r="7" spans="1:21">
      <c r="A7" t="s">
        <v>92</v>
      </c>
      <c r="B7" t="s">
        <v>33</v>
      </c>
      <c r="C7">
        <v>80</v>
      </c>
      <c r="D7" t="s">
        <v>4</v>
      </c>
      <c r="E7">
        <v>1</v>
      </c>
      <c r="F7" t="s">
        <v>29</v>
      </c>
      <c r="G7" t="s">
        <v>38</v>
      </c>
      <c r="H7">
        <v>5966981</v>
      </c>
      <c r="I7">
        <v>7764503</v>
      </c>
      <c r="J7" s="6">
        <v>85.44</v>
      </c>
      <c r="K7" s="6">
        <v>0.59</v>
      </c>
      <c r="L7" s="8">
        <v>0.70184170046829997</v>
      </c>
      <c r="M7" s="8">
        <v>7.0943733723640004E-2</v>
      </c>
      <c r="N7" s="8">
        <v>3.4245739359499998</v>
      </c>
      <c r="O7" s="8">
        <v>1.2234122768739999</v>
      </c>
      <c r="P7" s="8">
        <v>7.2080055307360003E-2</v>
      </c>
      <c r="Q7" s="8">
        <v>3.3843284701440002</v>
      </c>
      <c r="R7" s="8">
        <v>0.52157057640610005</v>
      </c>
      <c r="S7" s="8">
        <v>1.136321583725E-3</v>
      </c>
      <c r="T7" s="8">
        <v>-4.0245465806090001E-2</v>
      </c>
      <c r="U7" s="8">
        <f>L6-Table2[[#This Row],[PRESSURE_FORCE_X]]</f>
        <v>5.4208233907000469E-3</v>
      </c>
    </row>
    <row r="8" spans="1:21">
      <c r="A8" t="s">
        <v>92</v>
      </c>
      <c r="B8" t="s">
        <v>33</v>
      </c>
      <c r="C8">
        <v>80</v>
      </c>
      <c r="D8" t="s">
        <v>4</v>
      </c>
      <c r="E8">
        <v>1</v>
      </c>
      <c r="F8" t="s">
        <v>29</v>
      </c>
      <c r="G8" t="s">
        <v>39</v>
      </c>
      <c r="H8">
        <v>2995024</v>
      </c>
      <c r="I8">
        <v>3872601</v>
      </c>
      <c r="J8" s="6">
        <v>87.35</v>
      </c>
      <c r="K8" s="6">
        <v>0.5</v>
      </c>
      <c r="L8" s="8">
        <v>0.72530023567610002</v>
      </c>
      <c r="M8" s="8">
        <v>-3.6593171434790003E-2</v>
      </c>
      <c r="N8" s="8">
        <v>3.456261463193</v>
      </c>
      <c r="O8" s="8">
        <v>1.247243204256</v>
      </c>
      <c r="P8" s="8">
        <v>-3.4369973781149997E-2</v>
      </c>
      <c r="Q8" s="8">
        <v>3.4172181553919998</v>
      </c>
      <c r="R8" s="8">
        <v>0.52194296857959999</v>
      </c>
      <c r="S8" s="8">
        <v>2.2231976536459998E-3</v>
      </c>
      <c r="T8" s="8">
        <v>-3.9043307800959999E-2</v>
      </c>
      <c r="U8" s="8">
        <f>L7-Table2[[#This Row],[PRESSURE_FORCE_X]]</f>
        <v>-2.3458535207800058E-2</v>
      </c>
    </row>
    <row r="9" spans="1:21">
      <c r="A9" t="s">
        <v>92</v>
      </c>
      <c r="B9" t="s">
        <v>33</v>
      </c>
      <c r="C9">
        <v>80</v>
      </c>
      <c r="D9" t="s">
        <v>4</v>
      </c>
      <c r="E9">
        <v>1</v>
      </c>
      <c r="F9" t="s">
        <v>29</v>
      </c>
      <c r="G9" t="s">
        <v>40</v>
      </c>
      <c r="H9">
        <v>1253214</v>
      </c>
      <c r="I9">
        <v>1445283</v>
      </c>
      <c r="J9" s="6">
        <v>87.11</v>
      </c>
      <c r="K9" s="6">
        <v>0.61</v>
      </c>
      <c r="L9" s="8">
        <v>1.142080344839</v>
      </c>
      <c r="M9" s="8">
        <v>7.6435809442170002E-3</v>
      </c>
      <c r="N9" s="8">
        <v>3.3990827836980002</v>
      </c>
      <c r="O9" s="8">
        <v>1.6607752268360001</v>
      </c>
      <c r="P9" s="8">
        <v>8.4898030758399998E-3</v>
      </c>
      <c r="Q9" s="8">
        <v>3.3764144471240001</v>
      </c>
      <c r="R9" s="8">
        <v>0.51869488199720004</v>
      </c>
      <c r="S9" s="8">
        <v>8.4622213162270003E-4</v>
      </c>
      <c r="T9" s="8">
        <v>-2.266833657401E-2</v>
      </c>
      <c r="U9" s="8">
        <f>L8-Table2[[#This Row],[PRESSURE_FORCE_X]]</f>
        <v>-0.41678010916289998</v>
      </c>
    </row>
    <row r="10" spans="1:21">
      <c r="A10" t="s">
        <v>92</v>
      </c>
      <c r="B10" t="s">
        <v>33</v>
      </c>
      <c r="C10">
        <v>80</v>
      </c>
      <c r="D10" t="s">
        <v>4</v>
      </c>
      <c r="E10">
        <v>1</v>
      </c>
      <c r="F10" t="s">
        <v>29</v>
      </c>
      <c r="G10" t="s">
        <v>61</v>
      </c>
      <c r="H10">
        <v>643259</v>
      </c>
      <c r="I10">
        <v>728039</v>
      </c>
      <c r="J10" s="6">
        <v>87.38</v>
      </c>
      <c r="K10" s="6">
        <v>0.64</v>
      </c>
      <c r="L10" s="8">
        <v>1.634200639945</v>
      </c>
      <c r="M10" s="8">
        <v>-0.13900503764909999</v>
      </c>
      <c r="N10" s="8">
        <v>3.8879977638100001</v>
      </c>
      <c r="O10" s="8">
        <v>2.1406528420069999</v>
      </c>
      <c r="P10" s="8">
        <v>-0.13966087704749999</v>
      </c>
      <c r="Q10" s="8">
        <v>3.8591581944739999</v>
      </c>
      <c r="R10" s="8">
        <v>0.5064522020626</v>
      </c>
      <c r="S10" s="8">
        <v>-6.5583939833830003E-4</v>
      </c>
      <c r="T10" s="8">
        <v>-2.8839569335870001E-2</v>
      </c>
      <c r="U10" s="8">
        <f>L9-Table2[[#This Row],[PRESSURE_FORCE_X]]</f>
        <v>-0.49212029510599997</v>
      </c>
    </row>
    <row r="11" spans="1:21">
      <c r="A11" t="s">
        <v>92</v>
      </c>
      <c r="B11" t="s">
        <v>33</v>
      </c>
      <c r="C11">
        <v>80</v>
      </c>
      <c r="D11" t="s">
        <v>4</v>
      </c>
      <c r="E11">
        <v>1</v>
      </c>
      <c r="F11" t="s">
        <v>29</v>
      </c>
      <c r="G11" t="s">
        <v>62</v>
      </c>
      <c r="H11">
        <v>394268</v>
      </c>
      <c r="I11">
        <v>468042</v>
      </c>
      <c r="J11" s="6">
        <v>87.53</v>
      </c>
      <c r="K11" s="13">
        <v>0.56899999999999995</v>
      </c>
      <c r="L11" s="8">
        <v>1.423076605329</v>
      </c>
      <c r="M11" s="8">
        <v>1.483450520766E-2</v>
      </c>
      <c r="N11" s="8">
        <v>2.8775613524470001</v>
      </c>
      <c r="O11" s="8">
        <v>1.8925258574170001</v>
      </c>
      <c r="P11" s="8">
        <v>1.9817650271610001E-2</v>
      </c>
      <c r="Q11" s="8">
        <v>2.862036134427</v>
      </c>
      <c r="R11" s="8">
        <v>0.4694492520877</v>
      </c>
      <c r="S11" s="8">
        <v>4.9831450639419997E-3</v>
      </c>
      <c r="T11" s="8">
        <v>-1.552521802045E-2</v>
      </c>
      <c r="U11" s="8">
        <f>L10-Table2[[#This Row],[PRESSURE_FORCE_X]]</f>
        <v>0.21112403461599993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7567-3580-430C-AA13-27693AAAD424}">
  <dimension ref="A1:T21"/>
  <sheetViews>
    <sheetView tabSelected="1" topLeftCell="B1" workbookViewId="0">
      <selection activeCell="E2" sqref="E2:H15"/>
    </sheetView>
  </sheetViews>
  <sheetFormatPr defaultRowHeight="14.4"/>
  <cols>
    <col min="4" max="4" width="11.5546875" bestFit="1" customWidth="1"/>
    <col min="5" max="5" width="11.33203125" bestFit="1" customWidth="1"/>
    <col min="6" max="6" width="11.44140625" bestFit="1" customWidth="1"/>
    <col min="7" max="7" width="7.5546875" bestFit="1" customWidth="1"/>
    <col min="8" max="8" width="7.44140625" bestFit="1" customWidth="1"/>
    <col min="13" max="13" width="18.777343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55</v>
      </c>
      <c r="F1" t="s">
        <v>54</v>
      </c>
      <c r="G1" t="s">
        <v>53</v>
      </c>
      <c r="H1" t="s">
        <v>52</v>
      </c>
      <c r="I1" t="s">
        <v>51</v>
      </c>
      <c r="J1" t="s">
        <v>23</v>
      </c>
      <c r="N1" t="s">
        <v>50</v>
      </c>
    </row>
    <row r="2" spans="1:18">
      <c r="A2">
        <v>1</v>
      </c>
      <c r="B2">
        <v>0.8</v>
      </c>
      <c r="C2" t="s">
        <v>4</v>
      </c>
      <c r="D2">
        <v>1</v>
      </c>
      <c r="E2">
        <f>5*B2</f>
        <v>4</v>
      </c>
      <c r="F2">
        <f>10*B2</f>
        <v>8</v>
      </c>
      <c r="G2" s="11">
        <f>$R$4*$B2*5</f>
        <v>1.0906200317965022</v>
      </c>
      <c r="H2" s="11">
        <f>$R$4*$B2*5</f>
        <v>1.0906200317965022</v>
      </c>
      <c r="I2">
        <f t="shared" ref="I2:I15" si="0">B2</f>
        <v>0.8</v>
      </c>
      <c r="J2">
        <v>9.6369999999999997E-3</v>
      </c>
      <c r="P2" t="s">
        <v>49</v>
      </c>
      <c r="Q2" t="s">
        <v>48</v>
      </c>
      <c r="R2" t="s">
        <v>47</v>
      </c>
    </row>
    <row r="3" spans="1:18">
      <c r="A3">
        <v>4</v>
      </c>
      <c r="B3">
        <v>0.8</v>
      </c>
      <c r="C3" t="s">
        <v>5</v>
      </c>
      <c r="D3">
        <v>1</v>
      </c>
      <c r="E3">
        <f>5*B3</f>
        <v>4</v>
      </c>
      <c r="F3">
        <f>10*B3</f>
        <v>8</v>
      </c>
      <c r="G3" s="11">
        <f>R$4*B3*5</f>
        <v>1.0906200317965022</v>
      </c>
      <c r="H3" s="11">
        <f>$R$4*$B3*5</f>
        <v>1.0906200317965022</v>
      </c>
      <c r="I3">
        <f t="shared" ref="I3" si="1">B3</f>
        <v>0.8</v>
      </c>
      <c r="J3">
        <f>J2*1000/N4</f>
        <v>1.2046250000000001E-2</v>
      </c>
    </row>
    <row r="4" spans="1:18">
      <c r="A4">
        <v>7</v>
      </c>
      <c r="B4">
        <v>0.8</v>
      </c>
      <c r="C4" t="s">
        <v>4</v>
      </c>
      <c r="D4">
        <v>3</v>
      </c>
      <c r="E4">
        <f>5*B4</f>
        <v>4</v>
      </c>
      <c r="F4">
        <f>10*B4</f>
        <v>8</v>
      </c>
      <c r="G4" s="11">
        <f>R$4*B4*5</f>
        <v>1.0906200317965022</v>
      </c>
      <c r="H4" s="11">
        <f>$R$4*$B4*5</f>
        <v>1.0906200317965022</v>
      </c>
      <c r="I4">
        <f t="shared" si="0"/>
        <v>0.8</v>
      </c>
      <c r="J4">
        <f>J2*1200/N4</f>
        <v>1.44555E-2</v>
      </c>
      <c r="M4">
        <v>592.70000000000005</v>
      </c>
      <c r="N4">
        <v>800</v>
      </c>
      <c r="P4">
        <v>125.8</v>
      </c>
      <c r="Q4">
        <v>34.299999999999997</v>
      </c>
      <c r="R4">
        <f>Q4/P4</f>
        <v>0.27265500794912556</v>
      </c>
    </row>
    <row r="5" spans="1:18">
      <c r="A5">
        <v>10</v>
      </c>
      <c r="B5">
        <v>0.8</v>
      </c>
      <c r="C5" t="s">
        <v>5</v>
      </c>
      <c r="D5">
        <v>3</v>
      </c>
      <c r="E5">
        <f>5*B5</f>
        <v>4</v>
      </c>
      <c r="F5">
        <f>10*B5</f>
        <v>8</v>
      </c>
      <c r="G5" s="11">
        <f>R$4*B5*5</f>
        <v>1.0906200317965022</v>
      </c>
      <c r="H5" s="11">
        <f>$R$4*$B5*5</f>
        <v>1.0906200317965022</v>
      </c>
      <c r="I5">
        <f t="shared" si="0"/>
        <v>0.8</v>
      </c>
      <c r="J5">
        <f>J2*1600/N4</f>
        <v>1.9273999999999999E-2</v>
      </c>
      <c r="M5" t="s">
        <v>46</v>
      </c>
      <c r="N5" s="9">
        <f>N4/M4</f>
        <v>1.3497553568415723</v>
      </c>
    </row>
    <row r="6" spans="1:18">
      <c r="B6">
        <v>1</v>
      </c>
      <c r="C6" t="s">
        <v>5</v>
      </c>
      <c r="D6">
        <v>1</v>
      </c>
      <c r="E6">
        <f>5*B6</f>
        <v>5</v>
      </c>
      <c r="F6">
        <f>10*B6</f>
        <v>10</v>
      </c>
      <c r="G6" s="11">
        <f>$R$4*$B6*5</f>
        <v>1.3632750397456279</v>
      </c>
      <c r="H6" s="11">
        <f>$R$4*$B6*5</f>
        <v>1.3632750397456279</v>
      </c>
      <c r="I6">
        <f t="shared" si="0"/>
        <v>1</v>
      </c>
      <c r="M6">
        <v>100</v>
      </c>
      <c r="N6" s="9">
        <f>1000/M4</f>
        <v>1.6871941960519654</v>
      </c>
    </row>
    <row r="7" spans="1:18">
      <c r="B7">
        <v>1</v>
      </c>
      <c r="C7" t="s">
        <v>4</v>
      </c>
      <c r="D7">
        <v>2</v>
      </c>
      <c r="E7">
        <f>5*B7</f>
        <v>5</v>
      </c>
      <c r="F7">
        <f>10*B7</f>
        <v>10</v>
      </c>
      <c r="G7" s="11">
        <f>$R$4*$B7*5</f>
        <v>1.3632750397456279</v>
      </c>
      <c r="H7" s="11">
        <f>$R$4*$B7*5</f>
        <v>1.3632750397456279</v>
      </c>
      <c r="I7">
        <f t="shared" si="0"/>
        <v>1</v>
      </c>
      <c r="M7" t="s">
        <v>45</v>
      </c>
      <c r="N7" s="8">
        <f>1200/M4</f>
        <v>2.0246330352623585</v>
      </c>
    </row>
    <row r="8" spans="1:18">
      <c r="A8">
        <v>2</v>
      </c>
      <c r="B8">
        <v>1.2</v>
      </c>
      <c r="C8" t="s">
        <v>4</v>
      </c>
      <c r="D8">
        <v>1</v>
      </c>
      <c r="E8">
        <f>5*B8</f>
        <v>6</v>
      </c>
      <c r="F8">
        <f>10*B8</f>
        <v>12</v>
      </c>
      <c r="G8" s="11">
        <f>R$4*B8*5</f>
        <v>1.6359300476947534</v>
      </c>
      <c r="H8" s="11">
        <f>$R$4*$B8*5</f>
        <v>1.6359300476947534</v>
      </c>
      <c r="I8">
        <f t="shared" si="0"/>
        <v>1.2</v>
      </c>
      <c r="M8" t="s">
        <v>44</v>
      </c>
      <c r="N8" s="8">
        <f>1600/M4</f>
        <v>2.6995107136831447</v>
      </c>
    </row>
    <row r="9" spans="1:18">
      <c r="A9">
        <v>5</v>
      </c>
      <c r="B9">
        <v>1.2</v>
      </c>
      <c r="C9" t="s">
        <v>5</v>
      </c>
      <c r="D9">
        <v>1</v>
      </c>
      <c r="E9">
        <f>5*B9</f>
        <v>6</v>
      </c>
      <c r="F9">
        <f>10*B9</f>
        <v>12</v>
      </c>
      <c r="G9" s="11">
        <f>R$4*B9*5</f>
        <v>1.6359300476947534</v>
      </c>
      <c r="H9" s="11">
        <f>$R$4*$B9*5</f>
        <v>1.6359300476947534</v>
      </c>
      <c r="I9">
        <f t="shared" si="0"/>
        <v>1.2</v>
      </c>
      <c r="J9">
        <f>J5+T19</f>
        <v>2.0362392999999999E-2</v>
      </c>
    </row>
    <row r="10" spans="1:18">
      <c r="A10">
        <v>8</v>
      </c>
      <c r="B10">
        <v>1.2</v>
      </c>
      <c r="C10" t="s">
        <v>4</v>
      </c>
      <c r="D10">
        <v>3</v>
      </c>
      <c r="E10">
        <f>5*B10</f>
        <v>6</v>
      </c>
      <c r="F10">
        <f>10*B10</f>
        <v>12</v>
      </c>
      <c r="G10" s="11">
        <f>R$4*B10*5</f>
        <v>1.6359300476947534</v>
      </c>
      <c r="H10" s="11">
        <f>$R$4*$B10*5</f>
        <v>1.6359300476947534</v>
      </c>
      <c r="I10">
        <f t="shared" si="0"/>
        <v>1.2</v>
      </c>
    </row>
    <row r="11" spans="1:18">
      <c r="A11">
        <v>11</v>
      </c>
      <c r="B11">
        <v>1.2</v>
      </c>
      <c r="C11" t="s">
        <v>5</v>
      </c>
      <c r="D11">
        <v>3</v>
      </c>
      <c r="E11">
        <f>5*B11</f>
        <v>6</v>
      </c>
      <c r="F11">
        <f>10*B11</f>
        <v>12</v>
      </c>
      <c r="G11" s="11">
        <f>R$4*B11*5</f>
        <v>1.6359300476947534</v>
      </c>
      <c r="H11" s="11">
        <f>$R$4*$B11*5</f>
        <v>1.6359300476947534</v>
      </c>
      <c r="I11">
        <f t="shared" si="0"/>
        <v>1.2</v>
      </c>
    </row>
    <row r="12" spans="1:18">
      <c r="A12">
        <v>3</v>
      </c>
      <c r="B12">
        <v>1.6</v>
      </c>
      <c r="C12" t="s">
        <v>4</v>
      </c>
      <c r="D12">
        <v>1</v>
      </c>
      <c r="E12">
        <f>5*B12</f>
        <v>8</v>
      </c>
      <c r="F12">
        <f>10*B12</f>
        <v>16</v>
      </c>
      <c r="G12" s="11">
        <f>R$4*B12*5</f>
        <v>2.1812400635930045</v>
      </c>
      <c r="H12" s="11">
        <f>$R$4*$B12*5</f>
        <v>2.1812400635930045</v>
      </c>
      <c r="I12">
        <f t="shared" si="0"/>
        <v>1.6</v>
      </c>
      <c r="J12">
        <v>2.0362392999999999E-2</v>
      </c>
    </row>
    <row r="13" spans="1:18">
      <c r="A13">
        <v>6</v>
      </c>
      <c r="B13">
        <v>1.6</v>
      </c>
      <c r="C13" t="s">
        <v>5</v>
      </c>
      <c r="D13">
        <v>1</v>
      </c>
      <c r="E13">
        <f>5*B13</f>
        <v>8</v>
      </c>
      <c r="F13">
        <f>10*B13</f>
        <v>16</v>
      </c>
      <c r="G13" s="11">
        <f>R$4*B13*5</f>
        <v>2.1812400635930045</v>
      </c>
      <c r="H13" s="11">
        <f>$R$4*$B13*5</f>
        <v>2.1812400635930045</v>
      </c>
      <c r="I13">
        <f t="shared" si="0"/>
        <v>1.6</v>
      </c>
    </row>
    <row r="14" spans="1:18">
      <c r="A14">
        <v>9</v>
      </c>
      <c r="B14">
        <v>1.6</v>
      </c>
      <c r="C14" t="s">
        <v>4</v>
      </c>
      <c r="D14">
        <v>3</v>
      </c>
      <c r="E14">
        <f>5*B14</f>
        <v>8</v>
      </c>
      <c r="F14">
        <f>10*B14</f>
        <v>16</v>
      </c>
      <c r="G14" s="11">
        <f>R$4*B14*5</f>
        <v>2.1812400635930045</v>
      </c>
      <c r="H14" s="11">
        <f>$R$4*$B14*5</f>
        <v>2.1812400635930045</v>
      </c>
      <c r="I14">
        <f t="shared" si="0"/>
        <v>1.6</v>
      </c>
    </row>
    <row r="15" spans="1:18">
      <c r="A15">
        <v>12</v>
      </c>
      <c r="B15">
        <v>1.6</v>
      </c>
      <c r="C15" t="s">
        <v>5</v>
      </c>
      <c r="D15">
        <v>3</v>
      </c>
      <c r="E15">
        <f>5*B15</f>
        <v>8</v>
      </c>
      <c r="F15">
        <f>10*B15</f>
        <v>16</v>
      </c>
      <c r="G15" s="11">
        <f>R$4*B15*5</f>
        <v>2.1812400635930045</v>
      </c>
      <c r="H15" s="11">
        <f>$R$4*$B15*5</f>
        <v>2.1812400635930045</v>
      </c>
      <c r="I15">
        <f t="shared" si="0"/>
        <v>1.6</v>
      </c>
    </row>
    <row r="18" spans="12:20">
      <c r="R18" t="s">
        <v>2</v>
      </c>
    </row>
    <row r="19" spans="12:20">
      <c r="R19">
        <v>160</v>
      </c>
      <c r="S19">
        <f>848.239+240.154</f>
        <v>1088.393</v>
      </c>
      <c r="T19">
        <f>S19/1000000</f>
        <v>1.088393E-3</v>
      </c>
    </row>
    <row r="21" spans="12:20">
      <c r="L21">
        <v>1.9511388560823299E-2</v>
      </c>
    </row>
  </sheetData>
  <autoFilter ref="A1:H15" xr:uid="{F6001D06-E47F-4DD4-B936-AFD8E51ECAEB}">
    <sortState xmlns:xlrd2="http://schemas.microsoft.com/office/spreadsheetml/2017/richdata2" ref="A2:H15">
      <sortCondition ref="B1:B1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C5D6-F879-4664-A637-6CC68B89B320}">
  <dimension ref="A1:B2"/>
  <sheetViews>
    <sheetView workbookViewId="0">
      <selection activeCell="B2" sqref="B2"/>
    </sheetView>
  </sheetViews>
  <sheetFormatPr defaultRowHeight="14.4"/>
  <cols>
    <col min="1" max="1" width="11.77734375" bestFit="1" customWidth="1"/>
  </cols>
  <sheetData>
    <row r="1" spans="1:2">
      <c r="A1" t="s">
        <v>20</v>
      </c>
      <c r="B1" t="s">
        <v>21</v>
      </c>
    </row>
    <row r="2" spans="1:2">
      <c r="A2" t="s">
        <v>22</v>
      </c>
      <c r="B2">
        <v>1024.0650000000001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15053-DDF3-4EC3-8FAA-C6D082138CB6}">
  <dimension ref="A1:S17"/>
  <sheetViews>
    <sheetView workbookViewId="0">
      <selection activeCell="F7" sqref="F7"/>
    </sheetView>
  </sheetViews>
  <sheetFormatPr defaultRowHeight="14.4"/>
  <cols>
    <col min="2" max="2" width="11.5546875" customWidth="1"/>
    <col min="4" max="5" width="14.33203125" customWidth="1"/>
    <col min="6" max="6" width="26" bestFit="1" customWidth="1"/>
    <col min="7" max="7" width="25.5546875" bestFit="1" customWidth="1"/>
    <col min="8" max="8" width="26.5546875" bestFit="1" customWidth="1"/>
    <col min="9" max="9" width="26.77734375" bestFit="1" customWidth="1"/>
    <col min="10" max="10" width="26.109375" bestFit="1" customWidth="1"/>
    <col min="12" max="12" width="11.109375" customWidth="1"/>
    <col min="15" max="15" width="16.6640625" bestFit="1" customWidth="1"/>
    <col min="16" max="16" width="17.44140625" bestFit="1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23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>
        <v>1</v>
      </c>
      <c r="B2">
        <v>0.8</v>
      </c>
      <c r="C2" t="s">
        <v>4</v>
      </c>
      <c r="D2">
        <v>1</v>
      </c>
      <c r="E2" s="2">
        <v>9.6369999999999997E-3</v>
      </c>
      <c r="F2" s="7">
        <v>0.29160391569740002</v>
      </c>
      <c r="G2" s="1">
        <v>0.74711159964740004</v>
      </c>
      <c r="H2" s="1">
        <v>0.60154461808610005</v>
      </c>
      <c r="I2" s="1">
        <v>0.14556698156129999</v>
      </c>
      <c r="J2" s="1">
        <v>0.2279888182624</v>
      </c>
      <c r="K2" s="1">
        <v>0.89481191381339997</v>
      </c>
      <c r="L2" s="1">
        <v>-1.7446740424460001E-2</v>
      </c>
      <c r="M2" s="1">
        <v>3.7225151850630001</v>
      </c>
      <c r="N2" s="1">
        <v>1.4389070420900001</v>
      </c>
      <c r="O2" s="1">
        <v>-1.638260254977E-2</v>
      </c>
      <c r="P2" s="1">
        <v>3.6865902139509998</v>
      </c>
      <c r="Q2" s="1">
        <v>0.54409512827679996</v>
      </c>
      <c r="R2" s="1">
        <v>1.0641378746900001E-3</v>
      </c>
      <c r="S2" s="1">
        <v>-3.5924971112089997E-2</v>
      </c>
    </row>
    <row r="3" spans="1:19">
      <c r="A3">
        <v>2</v>
      </c>
      <c r="B3">
        <v>1.2</v>
      </c>
      <c r="C3" t="s">
        <v>4</v>
      </c>
      <c r="D3">
        <v>1</v>
      </c>
      <c r="E3" s="2">
        <v>1.44555E-2</v>
      </c>
      <c r="F3" s="7">
        <f>(2*Table1[[#This Row],[TOTAL_FORCE_X]])/(Parameters!$B$2*Table1[[#This Row],[Velocity(m/s)]]^2*Table1[[#This Row],[Reference area]])</f>
        <v>0.43084090118380147</v>
      </c>
      <c r="G3" s="1">
        <f>(2*Table1[[#This Row],[TOTAL_FORCE_Z]])/(Parameters!$B2*Table1[[#This Row],[Velocity(m/s)]]^2*Table1[[#This Row],[Reference area]])</f>
        <v>1.1014357674695696</v>
      </c>
      <c r="H3" s="1"/>
      <c r="I3" s="1"/>
      <c r="J3" s="1"/>
      <c r="K3" s="1">
        <v>2.0526355829780001</v>
      </c>
      <c r="L3" s="1">
        <v>0.37749244255890002</v>
      </c>
      <c r="M3" s="1">
        <v>8.222977309709</v>
      </c>
      <c r="N3" s="1">
        <v>3.1889489819670001</v>
      </c>
      <c r="O3" s="1">
        <v>0.37804216831010001</v>
      </c>
      <c r="P3" s="1">
        <v>8.1524814838219992</v>
      </c>
      <c r="Q3" s="1">
        <v>1.1363133989880001</v>
      </c>
      <c r="R3" s="1">
        <v>5.4972575114999999E-4</v>
      </c>
      <c r="S3" s="1">
        <v>-7.0495825887579994E-2</v>
      </c>
    </row>
    <row r="4" spans="1:19">
      <c r="A4">
        <v>3</v>
      </c>
      <c r="B4">
        <v>1.6</v>
      </c>
      <c r="C4" t="s">
        <v>4</v>
      </c>
      <c r="D4">
        <v>1</v>
      </c>
      <c r="E4" s="2">
        <v>1.9273999999999999E-2</v>
      </c>
      <c r="F4" s="7">
        <v>0.59423735947239997</v>
      </c>
      <c r="G4" s="1">
        <v>1.4657762349750001</v>
      </c>
      <c r="H4" s="1">
        <v>1.342594182704</v>
      </c>
      <c r="I4" s="1">
        <v>0.12318205227079999</v>
      </c>
      <c r="J4" s="1">
        <v>0.60970606521670001</v>
      </c>
      <c r="K4" s="1">
        <v>3.9107109649349998</v>
      </c>
      <c r="L4" s="1">
        <v>-0.3427849426872</v>
      </c>
      <c r="M4" s="1">
        <v>14.5795954579</v>
      </c>
      <c r="N4" s="1">
        <v>5.864477636887</v>
      </c>
      <c r="O4" s="1">
        <v>-0.3422436143523</v>
      </c>
      <c r="P4" s="1">
        <v>14.465620199849999</v>
      </c>
      <c r="Q4" s="1">
        <v>1.9537666719510001</v>
      </c>
      <c r="R4" s="1">
        <v>5.4132833498560001E-4</v>
      </c>
      <c r="S4" s="1">
        <v>-0.11397525804979999</v>
      </c>
    </row>
    <row r="5" spans="1:19">
      <c r="A5">
        <v>4</v>
      </c>
      <c r="B5">
        <v>0.8</v>
      </c>
      <c r="C5" t="s">
        <v>5</v>
      </c>
      <c r="D5">
        <v>1</v>
      </c>
      <c r="E5" s="2">
        <v>9.6369999999999997E-3</v>
      </c>
      <c r="F5" s="7"/>
    </row>
    <row r="6" spans="1:19">
      <c r="A6">
        <v>5</v>
      </c>
      <c r="B6">
        <v>1.2</v>
      </c>
      <c r="C6" t="s">
        <v>5</v>
      </c>
      <c r="D6">
        <v>1</v>
      </c>
      <c r="E6" s="2">
        <v>1.44555E-2</v>
      </c>
      <c r="F6" s="7">
        <v>0.56696033544309998</v>
      </c>
      <c r="G6" s="1">
        <v>1.071733436163</v>
      </c>
      <c r="H6" s="1">
        <v>0.86548466648449995</v>
      </c>
      <c r="I6" s="1">
        <v>0.2062487696785</v>
      </c>
      <c r="J6" s="1">
        <v>0.32961794840300002</v>
      </c>
      <c r="K6" s="1">
        <v>3.055702570437</v>
      </c>
      <c r="L6" s="1">
        <v>1.026039793434</v>
      </c>
      <c r="M6" s="1">
        <v>8.0059837505050009</v>
      </c>
      <c r="N6" s="1">
        <v>4.1964622661390001</v>
      </c>
      <c r="O6" s="1">
        <v>1.0106116268380001</v>
      </c>
      <c r="P6" s="1">
        <v>7.9326341598520003</v>
      </c>
      <c r="Q6" s="1">
        <v>1.140759695701</v>
      </c>
      <c r="R6" s="1">
        <v>-1.5428166595940001E-2</v>
      </c>
      <c r="S6" s="1">
        <v>-7.3349590652789995E-2</v>
      </c>
    </row>
    <row r="7" spans="1:19">
      <c r="A7">
        <v>6</v>
      </c>
      <c r="B7">
        <v>1.6</v>
      </c>
      <c r="C7" t="s">
        <v>5</v>
      </c>
      <c r="D7">
        <v>1</v>
      </c>
      <c r="E7" s="2">
        <v>1.9273999999999999E-2</v>
      </c>
      <c r="F7" s="7">
        <v>0.61557936204620001</v>
      </c>
      <c r="G7" s="1">
        <v>1.383486083158</v>
      </c>
      <c r="H7" s="1">
        <v>1.1259681806990001</v>
      </c>
      <c r="I7" s="1">
        <v>0.25751790245889999</v>
      </c>
      <c r="J7" s="1">
        <v>0.4342251391202</v>
      </c>
      <c r="K7" s="1">
        <v>4.46966659923</v>
      </c>
      <c r="L7" s="1">
        <v>0.26832194195440001</v>
      </c>
      <c r="M7" s="1">
        <v>14.54912211317</v>
      </c>
      <c r="N7" s="1">
        <v>6.4181578497889999</v>
      </c>
      <c r="O7" s="1">
        <v>0.26570386389529999</v>
      </c>
      <c r="P7" s="1">
        <v>14.424512276010001</v>
      </c>
      <c r="Q7" s="1">
        <v>1.948491250559</v>
      </c>
      <c r="R7" s="1">
        <v>-2.6180780591550002E-3</v>
      </c>
      <c r="S7" s="1">
        <v>-0.124609837164</v>
      </c>
    </row>
    <row r="8" spans="1:19">
      <c r="A8">
        <v>7</v>
      </c>
      <c r="B8">
        <v>0.8</v>
      </c>
      <c r="C8" t="s">
        <v>4</v>
      </c>
      <c r="D8">
        <v>3</v>
      </c>
      <c r="E8" s="2">
        <v>9.6369999999999997E-3</v>
      </c>
      <c r="F8" s="7">
        <f>(2*Table1[[#This Row],[TOTAL_FORCE_X]])/(Parameters!$B$2*Table1[[#This Row],[Velocity(m/s)]]^2*Table1[[#This Row],[Reference area]])</f>
        <v>0.26705500490647821</v>
      </c>
      <c r="G8" s="1"/>
      <c r="H8" s="1"/>
      <c r="I8" s="1"/>
      <c r="J8" s="1"/>
      <c r="K8" s="1">
        <v>7.7493503842390004</v>
      </c>
      <c r="L8" s="1">
        <v>1.8190965242799999E-2</v>
      </c>
      <c r="M8" s="1">
        <v>34.850848402060002</v>
      </c>
      <c r="N8" s="1">
        <v>11.85994343182</v>
      </c>
      <c r="O8" s="1">
        <v>1.8888018539999999E-2</v>
      </c>
      <c r="P8" s="1">
        <v>34.58793750097</v>
      </c>
      <c r="Q8" s="1">
        <v>4.1105930475769998</v>
      </c>
      <c r="R8" s="1">
        <v>6.9705329719969996E-4</v>
      </c>
      <c r="S8" s="1">
        <v>-0.26291090108940002</v>
      </c>
    </row>
    <row r="9" spans="1:19">
      <c r="A9">
        <v>8</v>
      </c>
      <c r="B9">
        <v>1.2</v>
      </c>
      <c r="C9" t="s">
        <v>4</v>
      </c>
      <c r="D9">
        <v>3</v>
      </c>
      <c r="E9" s="2">
        <v>1.44555E-2</v>
      </c>
      <c r="F9" s="7">
        <f>(2*Table1[[#This Row],[TOTAL_FORCE_X]])/(Parameters!$B$2*Table1[[#This Row],[Velocity(m/s)]]^2*Table1[[#This Row],[Reference area]])</f>
        <v>0.40251041543844085</v>
      </c>
      <c r="G9" s="1"/>
      <c r="H9" s="1"/>
      <c r="I9" s="1"/>
      <c r="J9" s="1"/>
      <c r="K9" s="1">
        <v>18.364294999599998</v>
      </c>
      <c r="L9" s="1">
        <v>3.585761720856</v>
      </c>
      <c r="M9" s="1">
        <v>76.817265415639994</v>
      </c>
      <c r="N9" s="1">
        <v>26.813300650310001</v>
      </c>
      <c r="O9" s="1">
        <v>3.578321586156</v>
      </c>
      <c r="P9" s="1">
        <v>76.310191166150005</v>
      </c>
      <c r="Q9" s="1">
        <v>8.4490056507060007</v>
      </c>
      <c r="R9" s="1">
        <v>-7.4401346995210003E-3</v>
      </c>
      <c r="S9" s="1">
        <v>-0.50707424949540003</v>
      </c>
    </row>
    <row r="10" spans="1:19">
      <c r="A10">
        <v>9</v>
      </c>
      <c r="B10">
        <v>1.6</v>
      </c>
      <c r="C10" t="s">
        <v>4</v>
      </c>
      <c r="D10">
        <v>3</v>
      </c>
      <c r="E10" s="2">
        <v>1.9273999999999999E-2</v>
      </c>
      <c r="F10" s="7">
        <f>(2*Table1[[#This Row],[TOTAL_FORCE_X]])/(Parameters!$B$2*Table1[[#This Row],[Velocity(m/s)]]^2*Table1[[#This Row],[Reference area]])</f>
        <v>0.55709232646580376</v>
      </c>
      <c r="G10" s="1"/>
      <c r="H10" s="1"/>
      <c r="I10" s="1"/>
      <c r="J10" s="1"/>
      <c r="K10" s="1">
        <v>35.506943118620001</v>
      </c>
      <c r="L10" s="1">
        <v>-1.8500764379929999</v>
      </c>
      <c r="M10" s="1">
        <v>134.37803202000001</v>
      </c>
      <c r="N10" s="1">
        <v>49.481068370160003</v>
      </c>
      <c r="O10" s="1">
        <v>-1.8507429104190001</v>
      </c>
      <c r="P10" s="1">
        <v>133.5822110572</v>
      </c>
      <c r="Q10" s="1">
        <v>13.97412525154</v>
      </c>
      <c r="R10" s="1">
        <v>-6.6647242637409997E-4</v>
      </c>
      <c r="S10" s="1">
        <v>-0.79582096273080005</v>
      </c>
    </row>
    <row r="11" spans="1:19">
      <c r="A11">
        <v>10</v>
      </c>
      <c r="B11">
        <v>0.8</v>
      </c>
      <c r="C11" t="s">
        <v>5</v>
      </c>
      <c r="D11">
        <v>3</v>
      </c>
      <c r="E11" s="2">
        <v>9.6369999999999997E-3</v>
      </c>
      <c r="F11" s="7"/>
    </row>
    <row r="12" spans="1:19">
      <c r="A12">
        <v>11</v>
      </c>
      <c r="B12">
        <v>1.2</v>
      </c>
      <c r="C12" t="s">
        <v>5</v>
      </c>
      <c r="D12">
        <v>3</v>
      </c>
      <c r="E12" s="2">
        <v>1.44555E-2</v>
      </c>
      <c r="F12" s="7">
        <v>0.55000000000000004</v>
      </c>
    </row>
    <row r="13" spans="1:19">
      <c r="A13">
        <v>12</v>
      </c>
      <c r="B13">
        <v>1.6</v>
      </c>
      <c r="C13" t="s">
        <v>5</v>
      </c>
      <c r="D13">
        <v>3</v>
      </c>
      <c r="E13" s="2">
        <v>1.9273999999999999E-2</v>
      </c>
      <c r="F13" s="7">
        <v>0.58163728150969995</v>
      </c>
      <c r="G13" s="1">
        <v>1.4204991907</v>
      </c>
      <c r="H13" s="1">
        <v>1.157580521888</v>
      </c>
      <c r="I13" s="1">
        <v>0.2629186688115</v>
      </c>
      <c r="J13" s="1">
        <v>0.44733092653829998</v>
      </c>
      <c r="K13" s="1">
        <v>40.644237633469999</v>
      </c>
      <c r="L13" s="1">
        <v>3.097063999036</v>
      </c>
      <c r="M13" s="1">
        <v>134.1475887517</v>
      </c>
      <c r="N13" s="1">
        <v>54.57843623083</v>
      </c>
      <c r="O13" s="1">
        <v>3.0753065549169998</v>
      </c>
      <c r="P13" s="1">
        <v>133.29376737050001</v>
      </c>
      <c r="Q13" s="1">
        <v>13.93419859736</v>
      </c>
      <c r="R13" s="1">
        <v>-2.175744411885E-2</v>
      </c>
      <c r="S13" s="1">
        <v>-0.85382138121749995</v>
      </c>
    </row>
    <row r="15" spans="1:19">
      <c r="N15" s="3"/>
    </row>
    <row r="17" spans="6:6">
      <c r="F17" s="3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</vt:lpstr>
      <vt:lpstr>Simulations</vt:lpstr>
      <vt:lpstr>Mesh dependancy</vt:lpstr>
      <vt:lpstr>Sheet1</vt:lpstr>
      <vt:lpstr>Parameters</vt:lpstr>
      <vt:lpstr>Simulations_old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 Robert Priester</dc:creator>
  <cp:lastModifiedBy>Carl Robert Priester</cp:lastModifiedBy>
  <dcterms:created xsi:type="dcterms:W3CDTF">2025-11-04T12:15:07Z</dcterms:created>
  <dcterms:modified xsi:type="dcterms:W3CDTF">2026-02-09T01:29:45Z</dcterms:modified>
</cp:coreProperties>
</file>